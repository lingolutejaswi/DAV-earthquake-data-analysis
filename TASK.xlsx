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7c6c53700cc3c0/Desktop/"/>
    </mc:Choice>
  </mc:AlternateContent>
  <xr:revisionPtr revIDLastSave="0" documentId="8_{9163C202-8B7F-42DD-81DD-0F31563E8A51}" xr6:coauthVersionLast="47" xr6:coauthVersionMax="47" xr10:uidLastSave="{00000000-0000-0000-0000-000000000000}"/>
  <bookViews>
    <workbookView xWindow="-108" yWindow="-108" windowWidth="23256" windowHeight="12456" activeTab="1" xr2:uid="{CD960892-0DFF-402E-8B44-24564A52E354}"/>
  </bookViews>
  <sheets>
    <sheet name="DS" sheetId="1" r:id="rId1"/>
    <sheet name="TA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E13" i="2"/>
  <c r="E12" i="2"/>
  <c r="B32" i="2"/>
  <c r="E31" i="2"/>
  <c r="E32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6" i="2"/>
  <c r="E57" i="2"/>
  <c r="E58" i="2"/>
  <c r="E59" i="2"/>
  <c r="E40" i="2"/>
  <c r="E39" i="2"/>
  <c r="E38" i="2"/>
  <c r="E37" i="2"/>
  <c r="E36" i="2"/>
  <c r="E33" i="2"/>
  <c r="E34" i="2"/>
  <c r="E35" i="2"/>
  <c r="B34" i="2"/>
  <c r="B35" i="2"/>
  <c r="B28" i="2"/>
  <c r="B22" i="2"/>
  <c r="B21" i="2"/>
  <c r="B37" i="2"/>
  <c r="B19" i="2"/>
  <c r="E24" i="2"/>
  <c r="E19" i="2"/>
  <c r="B36" i="2"/>
  <c r="B33" i="2"/>
  <c r="B27" i="2"/>
  <c r="B26" i="2"/>
  <c r="B25" i="2"/>
  <c r="B24" i="2"/>
  <c r="B23" i="2"/>
  <c r="B20" i="2"/>
  <c r="E23" i="2"/>
  <c r="E22" i="2"/>
  <c r="E21" i="2"/>
  <c r="E20" i="2"/>
  <c r="D15" i="2"/>
  <c r="D14" i="2"/>
  <c r="D13" i="2"/>
  <c r="D12" i="2"/>
  <c r="C15" i="2"/>
  <c r="C14" i="2"/>
  <c r="C13" i="2"/>
  <c r="C12" i="2"/>
  <c r="B15" i="2"/>
  <c r="B14" i="2"/>
  <c r="B13" i="2"/>
  <c r="B12" i="2"/>
</calcChain>
</file>

<file path=xl/sharedStrings.xml><?xml version="1.0" encoding="utf-8"?>
<sst xmlns="http://schemas.openxmlformats.org/spreadsheetml/2006/main" count="5449" uniqueCount="1631">
  <si>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</si>
  <si>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</si>
  <si>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</si>
  <si>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</si>
  <si>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</si>
  <si>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</si>
  <si>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</si>
  <si>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</si>
  <si>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</si>
  <si>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</si>
  <si>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</si>
  <si>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</si>
  <si>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</si>
  <si>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</si>
  <si>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</si>
  <si>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</si>
  <si>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</si>
  <si>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</si>
  <si>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</si>
  <si>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</si>
  <si>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</si>
  <si>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</si>
  <si>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</si>
  <si>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</si>
  <si>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</si>
  <si>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</si>
  <si>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</si>
  <si>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</si>
  <si>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</si>
  <si>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</si>
  <si>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</si>
  <si>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</si>
  <si>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</si>
  <si>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</si>
  <si>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</si>
  <si>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</si>
  <si>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</si>
  <si>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</si>
  <si>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</si>
  <si>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</si>
  <si>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</si>
  <si>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</si>
  <si>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</si>
  <si>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</si>
  <si>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</si>
  <si>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</si>
  <si>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</si>
  <si>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</si>
  <si>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</si>
  <si>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</si>
  <si>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</si>
  <si>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</si>
  <si>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</si>
  <si>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</si>
  <si>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</si>
  <si>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</si>
  <si>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</si>
  <si>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</si>
  <si>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</si>
  <si>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</si>
  <si>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</si>
  <si>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</si>
  <si>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</si>
  <si>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</si>
  <si>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</si>
  <si>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</si>
  <si>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</si>
  <si>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</si>
  <si>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</si>
  <si>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</si>
  <si>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</si>
  <si>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</si>
  <si>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</si>
  <si>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</si>
  <si>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</si>
  <si>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</si>
  <si>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</si>
  <si>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</si>
  <si>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</si>
  <si>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</si>
  <si>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</si>
  <si>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</si>
  <si>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</si>
  <si>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</si>
  <si>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</si>
  <si>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</si>
  <si>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</si>
  <si>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</si>
  <si>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</si>
  <si>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</si>
  <si>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</si>
  <si>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</si>
  <si>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</si>
  <si>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</si>
  <si>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</si>
  <si>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</si>
  <si>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</si>
  <si>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</si>
  <si>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</si>
  <si>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</si>
  <si>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</si>
  <si>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</si>
  <si>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</si>
  <si>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</si>
  <si>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</si>
  <si>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</si>
  <si>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</si>
  <si>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</si>
  <si>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</si>
  <si>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</si>
  <si>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</si>
  <si>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</si>
  <si>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</si>
  <si>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</si>
  <si>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</si>
  <si>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</si>
  <si>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</si>
  <si>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</si>
  <si>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</si>
  <si>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</si>
  <si>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</si>
  <si>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</si>
  <si>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</si>
  <si>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</si>
  <si>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</si>
  <si>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</si>
  <si>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</si>
  <si>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</si>
  <si>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</si>
  <si>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</si>
  <si>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</si>
  <si>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</si>
  <si>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</si>
  <si>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</si>
  <si>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</si>
  <si>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</si>
  <si>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</si>
  <si>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</si>
  <si>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</si>
  <si>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</si>
  <si>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</si>
  <si>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</si>
  <si>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</si>
  <si>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</si>
  <si>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</si>
  <si>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</si>
  <si>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</si>
  <si>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</si>
  <si>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</si>
  <si>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</si>
  <si>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</si>
  <si>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</si>
  <si>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</si>
  <si>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</si>
  <si>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</si>
  <si>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</si>
  <si>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</si>
  <si>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</si>
  <si>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</si>
  <si>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</si>
  <si>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</si>
  <si>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</si>
  <si>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</si>
  <si>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</si>
  <si>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</si>
  <si>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</si>
  <si>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</si>
  <si>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</si>
  <si>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</si>
  <si>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</si>
  <si>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</si>
  <si>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</si>
  <si>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</si>
  <si>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</si>
  <si>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</si>
  <si>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</si>
  <si>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</si>
  <si>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</si>
  <si>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</si>
  <si>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</si>
  <si>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</si>
  <si>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</si>
  <si>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</si>
  <si>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</si>
  <si>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</si>
  <si>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</si>
  <si>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</si>
  <si>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</si>
  <si>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</si>
  <si>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</si>
  <si>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</si>
  <si>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</si>
  <si>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</si>
  <si>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</si>
  <si>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</si>
  <si>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</si>
  <si>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</si>
  <si>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</si>
  <si>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</si>
  <si>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</si>
  <si>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</si>
  <si>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</si>
  <si>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</si>
  <si>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</si>
  <si>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</si>
  <si>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</si>
  <si>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</si>
  <si>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</si>
  <si>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</si>
  <si>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</si>
  <si>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</si>
  <si>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</si>
  <si>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</si>
  <si>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</si>
  <si>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</si>
  <si>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</si>
  <si>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</si>
  <si>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</si>
  <si>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</si>
  <si>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</si>
  <si>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</si>
  <si>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</si>
  <si>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</si>
  <si>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</si>
  <si>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</si>
  <si>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</si>
  <si>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</si>
  <si>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</si>
  <si>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</si>
  <si>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</si>
  <si>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</si>
  <si>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</si>
  <si>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</si>
  <si>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</si>
  <si>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</si>
  <si>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</si>
  <si>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</si>
  <si>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</si>
  <si>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</si>
  <si>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</si>
  <si>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</si>
  <si>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</si>
  <si>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</si>
  <si>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</si>
  <si>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</si>
  <si>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</si>
  <si>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</si>
  <si>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</si>
  <si>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</si>
  <si>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</si>
  <si>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</si>
  <si>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</si>
  <si>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</si>
  <si>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</si>
  <si>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</si>
  <si>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</si>
  <si>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</si>
  <si>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</si>
  <si>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</si>
  <si>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</si>
  <si>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</si>
  <si>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</si>
  <si>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</si>
  <si>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</si>
  <si>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</si>
  <si>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</si>
  <si>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</si>
  <si>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</si>
  <si>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</si>
  <si>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</si>
  <si>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</si>
  <si>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</si>
  <si>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</si>
  <si>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</si>
  <si>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</si>
  <si>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</si>
  <si>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</si>
  <si>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</si>
  <si>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</si>
  <si>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</si>
  <si>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</si>
  <si>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</si>
  <si>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</si>
  <si>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</si>
  <si>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</si>
  <si>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</si>
  <si>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</si>
  <si>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</si>
  <si>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</si>
  <si>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</si>
  <si>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</si>
  <si>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</si>
  <si>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</si>
  <si>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</si>
  <si>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</si>
  <si>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</si>
  <si>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</si>
  <si>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</si>
  <si>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</si>
  <si>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</si>
  <si>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</si>
  <si>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</si>
  <si>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</si>
  <si>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</si>
  <si>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</si>
  <si>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</si>
  <si>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</si>
  <si>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</si>
  <si>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</si>
  <si>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</si>
  <si>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</si>
  <si>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</si>
  <si>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</si>
  <si>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</si>
  <si>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</si>
  <si>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</si>
  <si>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</si>
  <si>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</si>
  <si>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</si>
  <si>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</si>
  <si>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</si>
  <si>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</si>
  <si>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</si>
  <si>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</si>
  <si>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</si>
  <si>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</si>
  <si>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</si>
  <si>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</si>
  <si>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</si>
  <si>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</si>
  <si>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</si>
  <si>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</si>
  <si>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</si>
  <si>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</si>
  <si>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</si>
  <si>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</si>
  <si>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</si>
  <si>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</si>
  <si>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</si>
  <si>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</si>
  <si>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</si>
  <si>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</si>
  <si>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</si>
  <si>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</si>
  <si>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</si>
  <si>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</si>
  <si>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</si>
  <si>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</si>
  <si>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</si>
  <si>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</si>
  <si>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</si>
  <si>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</si>
  <si>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</si>
  <si>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</si>
  <si>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</si>
  <si>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</si>
  <si>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</si>
  <si>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</si>
  <si>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</si>
  <si>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</si>
  <si>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</si>
  <si>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</si>
  <si>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</si>
  <si>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</si>
  <si>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</si>
  <si>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</si>
  <si>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</si>
  <si>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</si>
  <si>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</si>
  <si>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</si>
  <si>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</si>
  <si>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</si>
  <si>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</si>
  <si>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</si>
  <si>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</si>
  <si>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</si>
  <si>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</si>
  <si>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</si>
  <si>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</si>
  <si>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</si>
  <si>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</si>
  <si>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</si>
  <si>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</si>
  <si>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</si>
  <si>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</si>
  <si>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</si>
  <si>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</si>
  <si>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</si>
  <si>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</si>
  <si>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</si>
  <si>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</si>
  <si>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</si>
  <si>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</si>
  <si>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</si>
  <si>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</si>
  <si>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</si>
  <si>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</si>
  <si>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</si>
  <si>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</si>
  <si>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</si>
  <si>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</si>
  <si>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</si>
  <si>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</si>
  <si>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</si>
  <si>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</si>
  <si>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</si>
  <si>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</si>
  <si>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</si>
  <si>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</si>
  <si>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</si>
  <si>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</si>
  <si>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</si>
  <si>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</si>
  <si>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</si>
  <si>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</si>
  <si>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</si>
  <si>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</si>
  <si>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</si>
  <si>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</si>
  <si>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</si>
  <si>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</si>
  <si>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</si>
  <si>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</si>
  <si>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</si>
  <si>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</si>
  <si>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</si>
  <si>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</si>
  <si>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</si>
  <si>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</si>
  <si>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</si>
  <si>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</si>
  <si>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</si>
  <si>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</si>
  <si>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</si>
  <si>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</si>
  <si>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</si>
  <si>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</si>
  <si>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</si>
  <si>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</si>
  <si>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</si>
  <si>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</si>
  <si>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</si>
  <si>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</si>
  <si>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</si>
  <si>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</si>
  <si>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</si>
  <si>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</si>
  <si>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</si>
  <si>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</si>
  <si>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</si>
  <si>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</si>
  <si>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</si>
  <si>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</si>
  <si>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</si>
  <si>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</si>
  <si>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</si>
  <si>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</si>
  <si>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</si>
  <si>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</si>
  <si>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</si>
  <si>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</si>
  <si>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</si>
  <si>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</si>
  <si>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</si>
  <si>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</si>
  <si>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</si>
  <si>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</si>
  <si>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</si>
  <si>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</si>
  <si>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</si>
  <si>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</si>
  <si>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</si>
  <si>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</si>
  <si>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</si>
  <si>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</si>
  <si>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</si>
  <si>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</si>
  <si>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</si>
  <si>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</si>
  <si>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</si>
  <si>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</si>
  <si>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</si>
  <si>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</si>
  <si>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</si>
  <si>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</si>
  <si>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</si>
  <si>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</si>
  <si>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</si>
  <si>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</si>
  <si>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</si>
  <si>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</si>
  <si>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</si>
  <si>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</si>
  <si>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</si>
  <si>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</si>
  <si>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</si>
  <si>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</si>
  <si>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</si>
  <si>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</si>
  <si>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</si>
  <si>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</si>
  <si>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</si>
  <si>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</si>
  <si>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</si>
  <si>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</si>
  <si>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</si>
  <si>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</si>
  <si>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</si>
  <si>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</si>
  <si>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</si>
  <si>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</si>
  <si>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</si>
  <si>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</si>
  <si>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</si>
  <si>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</si>
  <si>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</si>
  <si>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</si>
  <si>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</si>
  <si>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</si>
  <si>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</si>
  <si>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</si>
  <si>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</si>
  <si>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</si>
  <si>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</si>
  <si>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</si>
  <si>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</si>
  <si>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</si>
  <si>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</si>
  <si>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</si>
  <si>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</si>
  <si>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</si>
  <si>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</si>
  <si>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</si>
  <si>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</si>
  <si>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</si>
  <si>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</si>
  <si>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</si>
  <si>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</si>
  <si>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</si>
  <si>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</si>
  <si>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</si>
  <si>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</si>
  <si>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</si>
  <si>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</si>
  <si>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</si>
  <si>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</si>
  <si>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</si>
  <si>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</si>
  <si>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</si>
  <si>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</si>
  <si>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</si>
  <si>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</si>
  <si>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</si>
  <si>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</si>
  <si>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</si>
  <si>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</si>
  <si>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</si>
  <si>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</si>
  <si>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</si>
  <si>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</si>
  <si>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</si>
  <si>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</si>
  <si>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</si>
  <si>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</si>
  <si>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</si>
  <si>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</si>
  <si>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</si>
  <si>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</si>
  <si>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</si>
  <si>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</si>
  <si>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</si>
  <si>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</si>
  <si>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</si>
  <si>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</si>
  <si>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</si>
  <si>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</si>
  <si>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</si>
  <si>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</si>
  <si>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</si>
  <si>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</si>
  <si>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</si>
  <si>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</si>
  <si>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</si>
  <si>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</si>
  <si>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</si>
  <si>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</si>
  <si>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</si>
  <si>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</si>
  <si>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</si>
  <si>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</si>
  <si>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</si>
  <si>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</si>
  <si>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</si>
  <si>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</si>
  <si>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</si>
  <si>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</si>
  <si>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</si>
  <si>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</si>
  <si>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</si>
  <si>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</si>
  <si>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</si>
  <si>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</si>
  <si>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</si>
  <si>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</si>
  <si>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</si>
  <si>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</si>
  <si>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</si>
  <si>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</si>
  <si>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</si>
  <si>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</si>
  <si>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</si>
  <si>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</si>
  <si>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</si>
  <si>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</si>
  <si>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</si>
  <si>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</si>
  <si>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</si>
  <si>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</si>
  <si>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</si>
  <si>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</si>
  <si>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</si>
  <si>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</si>
  <si>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</si>
  <si>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</si>
  <si>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</si>
  <si>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</si>
  <si>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</si>
  <si>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</si>
  <si>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</si>
  <si>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</si>
  <si>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</si>
  <si>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</si>
  <si>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</si>
  <si>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</si>
  <si>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</si>
  <si>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</si>
  <si>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</si>
  <si>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</si>
  <si>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</si>
  <si>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</si>
  <si>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</si>
  <si>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</si>
  <si>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</si>
  <si>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</si>
  <si>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</si>
  <si>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</si>
  <si>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</si>
  <si>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</si>
  <si>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</si>
  <si>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</si>
  <si>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</si>
  <si>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</si>
  <si>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</si>
  <si>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</si>
  <si>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</si>
  <si>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</si>
  <si>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</si>
  <si>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</si>
  <si>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</si>
  <si>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</si>
  <si>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</si>
  <si>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</si>
  <si>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</si>
  <si>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</si>
  <si>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</si>
  <si>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</si>
  <si>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</si>
  <si>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</si>
  <si>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</si>
  <si>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</si>
  <si>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</si>
  <si>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</si>
  <si>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</si>
  <si>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</si>
  <si>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</si>
  <si>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</si>
  <si>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</si>
  <si>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</si>
  <si>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</si>
  <si>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</si>
  <si>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</si>
  <si>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</si>
  <si>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</si>
  <si>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</si>
  <si>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</si>
  <si>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</si>
  <si>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</si>
  <si>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</si>
  <si>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</si>
  <si>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</si>
  <si>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</si>
  <si>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</si>
  <si>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</si>
  <si>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</si>
  <si>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</si>
  <si>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</si>
  <si>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</si>
  <si>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</si>
  <si>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</si>
  <si>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</si>
  <si>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</si>
  <si>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</si>
  <si>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</si>
  <si>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</si>
  <si>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</si>
  <si>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</si>
  <si>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</si>
  <si>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</si>
  <si>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</si>
  <si>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</si>
  <si>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</si>
  <si>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</si>
  <si>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</si>
  <si>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</si>
  <si>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</si>
  <si>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</si>
  <si>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</si>
  <si>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</si>
  <si>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</si>
  <si>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</si>
  <si>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</si>
  <si>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</si>
  <si>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</si>
  <si>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</si>
  <si>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</si>
  <si>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</si>
  <si>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</si>
  <si>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</si>
  <si>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</si>
  <si>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</si>
  <si>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</si>
  <si>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</si>
  <si>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</si>
  <si>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</si>
  <si>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</si>
  <si>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</si>
  <si>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</si>
  <si>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</si>
  <si>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</si>
  <si>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</si>
  <si>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</si>
  <si>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</si>
  <si>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</si>
  <si>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</si>
  <si>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</si>
  <si>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</si>
  <si>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</si>
  <si>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</si>
  <si>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</si>
  <si>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</si>
  <si>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</si>
  <si>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</si>
  <si>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</si>
  <si>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</si>
  <si>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</si>
  <si>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</si>
  <si>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</si>
  <si>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</si>
  <si>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</si>
  <si>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</si>
  <si>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</si>
  <si>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</si>
  <si>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</si>
  <si>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</si>
  <si>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</si>
  <si>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</si>
  <si>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</si>
  <si>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</si>
  <si>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</si>
  <si>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</si>
  <si>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</si>
  <si>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</si>
  <si>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</si>
  <si>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</si>
  <si>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</si>
  <si>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</si>
  <si>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</si>
  <si>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</si>
  <si>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</si>
  <si>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</si>
  <si>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</si>
  <si>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</si>
  <si>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</si>
  <si>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</si>
  <si>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</si>
  <si>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</si>
  <si>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</si>
  <si>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</si>
  <si>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</si>
  <si>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</si>
  <si>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</si>
  <si>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</si>
  <si>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</si>
  <si>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</si>
  <si>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</si>
  <si>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</si>
  <si>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</si>
  <si>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</si>
  <si>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</si>
  <si>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</si>
  <si>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</si>
  <si>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</si>
  <si>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</si>
  <si>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</si>
  <si>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</si>
  <si>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</si>
  <si>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</si>
  <si>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</si>
  <si>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</si>
  <si>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</si>
  <si>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</si>
  <si>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</si>
  <si>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</si>
  <si>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</si>
  <si>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</si>
  <si>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</si>
  <si>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</si>
  <si>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</si>
  <si>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</si>
  <si>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</si>
  <si>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</si>
  <si>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</si>
  <si>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</si>
  <si>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</si>
  <si>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</si>
  <si>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</si>
  <si>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</si>
  <si>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</si>
  <si>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</si>
  <si>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</si>
  <si>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</si>
  <si>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</si>
  <si>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</si>
  <si>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</si>
  <si>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</si>
  <si>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</si>
  <si>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</si>
  <si>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</si>
  <si>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</si>
  <si>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</si>
  <si>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</si>
  <si>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</si>
  <si>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</si>
  <si>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</si>
  <si>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</si>
  <si>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</si>
  <si>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</si>
  <si>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</si>
  <si>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</si>
  <si>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</si>
  <si>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</si>
  <si>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</si>
  <si>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</si>
  <si>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</si>
  <si>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</si>
  <si>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</si>
  <si>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</si>
  <si>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</si>
  <si>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</si>
  <si>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</si>
  <si>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</si>
  <si>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</si>
  <si>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</si>
  <si>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</si>
  <si>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</si>
  <si>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</si>
  <si>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</si>
  <si>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</si>
  <si>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</si>
  <si>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</si>
  <si>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</si>
  <si>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</si>
  <si>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</si>
  <si>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</si>
  <si>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</si>
  <si>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</si>
  <si>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</si>
  <si>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</si>
  <si>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</si>
  <si>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</si>
  <si>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</si>
  <si>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</si>
  <si>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</si>
  <si>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</si>
  <si>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</si>
  <si>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</si>
  <si>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</si>
  <si>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</si>
  <si>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</si>
  <si>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</si>
  <si>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</si>
  <si>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</si>
  <si>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</si>
  <si>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</si>
  <si>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</si>
  <si>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</si>
  <si>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</si>
  <si>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</si>
  <si>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</si>
  <si>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</si>
  <si>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</si>
  <si>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</si>
  <si>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</si>
  <si>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</si>
  <si>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</si>
  <si>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</si>
  <si>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</si>
  <si>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</si>
  <si>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</si>
  <si>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</si>
  <si>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</si>
  <si>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</si>
  <si>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</si>
  <si>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</si>
  <si>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</si>
  <si>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</si>
  <si>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</si>
  <si>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</si>
  <si>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</si>
  <si>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</si>
  <si>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</si>
  <si>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</si>
  <si>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</si>
  <si>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</si>
  <si>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</si>
  <si>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</si>
  <si>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</si>
  <si>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</si>
  <si>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</si>
  <si>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</si>
  <si>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</si>
  <si>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</si>
  <si>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</si>
  <si>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</si>
  <si>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</si>
  <si>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</si>
  <si>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</si>
  <si>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</si>
  <si>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</si>
  <si>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</si>
  <si>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</si>
  <si>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</si>
  <si>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</si>
  <si>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</si>
  <si>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</si>
  <si>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</si>
  <si>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</si>
  <si>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</si>
  <si>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</si>
  <si>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</si>
  <si>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</si>
  <si>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</si>
  <si>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</si>
  <si>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</si>
  <si>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</si>
  <si>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</si>
  <si>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</si>
  <si>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</si>
  <si>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</si>
  <si>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</si>
  <si>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</si>
  <si>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</si>
  <si>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</si>
  <si>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</si>
  <si>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</si>
  <si>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</si>
  <si>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</si>
  <si>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</si>
  <si>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</si>
  <si>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</si>
  <si>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</si>
  <si>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</si>
  <si>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</si>
  <si>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</si>
  <si>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</si>
  <si>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</si>
  <si>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</si>
  <si>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</si>
  <si>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</si>
  <si>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</si>
  <si>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</si>
  <si>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</si>
  <si>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</si>
  <si>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</si>
  <si>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</si>
  <si>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</si>
  <si>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</si>
  <si>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</si>
  <si>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</si>
  <si>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</si>
  <si>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</si>
  <si>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</si>
  <si>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</si>
  <si>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</si>
  <si>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</si>
  <si>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</si>
  <si>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</si>
  <si>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</si>
  <si>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</si>
  <si>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</si>
  <si>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</si>
  <si>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</si>
  <si>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</si>
  <si>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</si>
  <si>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</si>
  <si>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</si>
  <si>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</si>
  <si>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</si>
  <si>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</si>
  <si>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</si>
  <si>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</si>
  <si>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</si>
  <si>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</si>
  <si>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</si>
  <si>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</si>
  <si>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</si>
  <si>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</si>
  <si>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</si>
  <si>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</si>
  <si>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</si>
  <si>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</si>
  <si>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</si>
  <si>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</si>
  <si>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</si>
  <si>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</si>
  <si>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</si>
  <si>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</si>
  <si>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</si>
  <si>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</si>
  <si>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</si>
  <si>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</si>
  <si>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</si>
  <si>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</si>
  <si>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</si>
  <si>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</si>
  <si>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</si>
  <si>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</si>
  <si>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</si>
  <si>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</si>
  <si>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</si>
  <si>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</si>
  <si>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</si>
  <si>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</si>
  <si>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</si>
  <si>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</si>
  <si>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</si>
  <si>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</si>
  <si>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</si>
  <si>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</si>
  <si>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</si>
  <si>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</si>
  <si>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</si>
  <si>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</si>
  <si>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</si>
  <si>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</si>
  <si>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</si>
  <si>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</si>
  <si>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</si>
  <si>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</si>
  <si>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</si>
  <si>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</si>
  <si>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</si>
  <si>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</si>
  <si>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</si>
  <si>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</si>
  <si>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</si>
  <si>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</si>
  <si>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</si>
  <si>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</si>
  <si>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</si>
  <si>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</si>
  <si>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</si>
  <si>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</si>
  <si>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</si>
  <si>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</si>
  <si>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</si>
  <si>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</si>
  <si>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</si>
  <si>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</si>
  <si>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</si>
  <si>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</si>
  <si>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</si>
  <si>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</si>
  <si>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</si>
  <si>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</si>
  <si>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</si>
  <si>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</si>
  <si>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</si>
  <si>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</si>
  <si>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</si>
  <si>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</si>
  <si>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</si>
  <si>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</si>
  <si>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</si>
  <si>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</si>
  <si>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</si>
  <si>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</si>
  <si>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</si>
  <si>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</si>
  <si>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</si>
  <si>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</si>
  <si>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</si>
  <si>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</si>
  <si>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</si>
  <si>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</si>
  <si>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</si>
  <si>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</si>
  <si>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</si>
  <si>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</si>
  <si>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</si>
  <si>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</si>
  <si>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</si>
  <si>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</si>
  <si>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</si>
  <si>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</si>
  <si>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</si>
  <si>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</si>
  <si>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</si>
  <si>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</si>
  <si>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</si>
  <si>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</si>
  <si>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</si>
  <si>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</si>
  <si>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</si>
  <si>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</si>
  <si>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</si>
  <si>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</si>
  <si>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</si>
  <si>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</si>
  <si>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</si>
  <si>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</si>
  <si>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</si>
  <si>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</si>
  <si>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</si>
  <si>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</si>
  <si>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</si>
  <si>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</si>
  <si>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</si>
  <si>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</si>
  <si>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</si>
  <si>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</si>
  <si>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</si>
  <si>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</si>
  <si>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</si>
  <si>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</si>
  <si>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</si>
  <si>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</si>
  <si>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</si>
  <si>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</si>
  <si>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</si>
  <si>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</si>
  <si>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</si>
  <si>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</si>
  <si>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</si>
  <si>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</si>
  <si>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</si>
  <si>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</si>
  <si>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</si>
  <si>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</si>
  <si>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</si>
  <si>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</si>
  <si>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</si>
  <si>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</si>
  <si>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</si>
  <si>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</si>
  <si>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</si>
  <si>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</si>
  <si>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</si>
  <si>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</si>
  <si>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</si>
  <si>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</si>
  <si>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</si>
  <si>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</si>
  <si>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</si>
  <si>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</si>
  <si>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</si>
  <si>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</si>
  <si>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</si>
  <si>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</si>
  <si>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</si>
  <si>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</si>
  <si>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</si>
  <si>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</si>
  <si>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</si>
  <si>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</si>
  <si>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</si>
  <si>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</si>
  <si>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</si>
  <si>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</si>
  <si>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</si>
  <si>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</si>
  <si>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</si>
  <si>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</si>
  <si>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</si>
  <si>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</si>
  <si>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</si>
  <si>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</si>
  <si>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</si>
  <si>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</si>
  <si>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</si>
  <si>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</si>
  <si>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</si>
  <si>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</si>
  <si>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</si>
  <si>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</si>
  <si>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</si>
  <si>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</si>
  <si>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</si>
  <si>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</si>
  <si>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</si>
  <si>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</si>
  <si>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</si>
  <si>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</si>
  <si>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</si>
  <si>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</si>
  <si>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</si>
  <si>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</si>
  <si>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</si>
  <si>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</si>
  <si>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</si>
  <si>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</si>
  <si>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</si>
  <si>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</si>
  <si>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</si>
  <si>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</si>
  <si>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</si>
  <si>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</si>
  <si>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</si>
  <si>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</si>
  <si>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</si>
  <si>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</si>
  <si>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</si>
  <si>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</si>
  <si>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</si>
  <si>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</si>
  <si>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</si>
  <si>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</si>
  <si>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</si>
  <si>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</si>
  <si>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</si>
  <si>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</si>
  <si>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</si>
  <si>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</si>
  <si>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</si>
  <si>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</si>
  <si>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</si>
  <si>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</si>
  <si>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</si>
  <si>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</si>
  <si>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</si>
  <si>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</si>
  <si>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</si>
  <si>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</si>
  <si>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</si>
  <si>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</si>
  <si>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</si>
  <si>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</si>
  <si>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</si>
  <si>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</si>
  <si>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</si>
  <si>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</si>
  <si>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</si>
  <si>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</si>
  <si>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</si>
  <si>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</si>
  <si>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</si>
  <si>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</si>
  <si>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</si>
  <si>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</si>
  <si>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</si>
  <si>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</si>
  <si>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</si>
  <si>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</si>
  <si>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</si>
  <si>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</si>
  <si>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</si>
  <si>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</si>
  <si>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</si>
  <si>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</si>
  <si>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</si>
  <si>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</si>
  <si>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</si>
  <si>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</si>
  <si>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</si>
  <si>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</si>
  <si>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</si>
  <si>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</si>
  <si>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</si>
  <si>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</si>
  <si>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</si>
  <si>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</si>
  <si>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</si>
  <si>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</si>
  <si>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</si>
  <si>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</si>
  <si>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</si>
  <si>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</si>
  <si>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</si>
  <si>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</si>
  <si>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</si>
  <si>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</si>
  <si>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</si>
  <si>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</si>
  <si>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</si>
  <si>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</si>
  <si>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</si>
  <si>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</si>
  <si>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</si>
  <si>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</si>
  <si>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</si>
  <si>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</si>
  <si>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</si>
  <si>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</si>
  <si>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</si>
  <si>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</si>
  <si>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</si>
  <si>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</si>
  <si>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</si>
  <si>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</si>
  <si>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</si>
  <si>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</si>
  <si>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</si>
  <si>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</si>
  <si>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</si>
  <si>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</si>
  <si>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</si>
  <si>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</si>
  <si>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</si>
  <si>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</si>
  <si>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</si>
  <si>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</si>
  <si>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</si>
  <si>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</si>
  <si>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</si>
  <si>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</si>
  <si>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</si>
  <si>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</si>
  <si>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</si>
  <si>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</si>
  <si>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</si>
  <si>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</si>
  <si>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</si>
  <si>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</si>
  <si>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</si>
  <si>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</si>
  <si>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</si>
  <si>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</si>
  <si>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</si>
  <si>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</si>
  <si>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</si>
  <si>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</si>
  <si>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</si>
  <si>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</si>
  <si>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</si>
  <si>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</si>
  <si>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</si>
  <si>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</si>
  <si>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</si>
  <si>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</si>
  <si>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</si>
  <si>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</si>
  <si>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</si>
  <si>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</si>
  <si>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</si>
  <si>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</si>
  <si>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</si>
  <si>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</si>
  <si>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</si>
  <si>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</si>
  <si>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</si>
  <si>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</si>
  <si>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</si>
  <si>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</si>
  <si>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</si>
  <si>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</si>
  <si>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</si>
  <si>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</si>
  <si>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</si>
  <si>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</si>
  <si>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</si>
  <si>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</si>
  <si>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</si>
  <si>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</si>
  <si>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</si>
  <si>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</si>
  <si>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</si>
  <si>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</si>
  <si>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</si>
  <si>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</si>
  <si>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</si>
  <si>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</si>
  <si>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</si>
  <si>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</si>
  <si>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</si>
  <si>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</si>
  <si>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</si>
  <si>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</si>
  <si>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</si>
  <si>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</si>
  <si>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</si>
  <si>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</si>
  <si>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</si>
  <si>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</si>
  <si>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</si>
  <si>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</si>
  <si>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</si>
  <si>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</si>
  <si>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</si>
  <si>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</si>
  <si>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</si>
  <si>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</si>
  <si>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</si>
  <si>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</si>
  <si>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</si>
  <si>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</si>
  <si>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</si>
  <si>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</si>
  <si>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</si>
  <si>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</si>
  <si>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</si>
  <si>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</si>
  <si>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</si>
  <si>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</si>
  <si>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</si>
  <si>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</si>
  <si>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</si>
  <si>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</si>
  <si>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</si>
  <si>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</si>
  <si>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</si>
  <si>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</si>
  <si>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</si>
  <si>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</si>
  <si>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</si>
  <si>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</si>
  <si>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</si>
  <si>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</si>
  <si>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</si>
  <si>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</si>
  <si>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</si>
  <si>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</si>
  <si>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</si>
  <si>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</si>
  <si>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</si>
  <si>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</si>
  <si>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</si>
  <si>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</si>
  <si>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</si>
  <si>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</si>
  <si>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</si>
  <si>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</si>
  <si>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</si>
  <si>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</si>
  <si>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</si>
  <si>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</si>
  <si>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</si>
  <si>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</si>
  <si>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</si>
  <si>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</si>
  <si>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</si>
  <si>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</si>
  <si>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</si>
  <si>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</si>
  <si>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</si>
  <si>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</si>
  <si>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</si>
  <si>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</si>
  <si>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</si>
  <si>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</si>
  <si>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</si>
  <si>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</si>
  <si>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</si>
  <si>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</si>
  <si>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</si>
  <si>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</si>
  <si>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</si>
  <si>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</si>
  <si>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</si>
  <si>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</si>
  <si>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</si>
  <si>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</si>
  <si>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</si>
  <si>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</si>
  <si>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</si>
  <si>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</si>
  <si>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</si>
  <si>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</si>
  <si>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</si>
  <si>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</si>
  <si>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</si>
  <si>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</si>
  <si>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</si>
  <si>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</si>
  <si>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</si>
  <si>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</si>
  <si>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</si>
  <si>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</si>
  <si>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</si>
  <si>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</si>
  <si>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</si>
  <si>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</si>
  <si>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</si>
  <si>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</si>
  <si>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</si>
  <si>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</si>
  <si>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</si>
  <si>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</si>
  <si>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</si>
  <si>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</si>
  <si>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</si>
  <si>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</si>
  <si>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</si>
  <si>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</si>
  <si>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</si>
  <si>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</si>
  <si>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</si>
  <si>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</si>
  <si>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</si>
  <si>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</si>
  <si>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</si>
  <si>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</si>
  <si>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</si>
  <si>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</si>
  <si>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</si>
  <si>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</si>
  <si>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</si>
  <si>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</si>
  <si>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</si>
  <si>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</si>
  <si>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</si>
  <si>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</si>
  <si>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</si>
  <si>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</si>
  <si>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</si>
  <si>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</si>
  <si>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</si>
  <si>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</si>
  <si>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</si>
  <si>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</si>
  <si>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</si>
  <si>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</si>
  <si>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</si>
  <si>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</si>
  <si>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</si>
  <si>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</si>
  <si>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</si>
  <si>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</si>
  <si>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</si>
  <si>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</si>
  <si>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</si>
  <si>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</si>
  <si>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</si>
  <si>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</si>
  <si>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</si>
  <si>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</si>
  <si>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</si>
  <si>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</si>
  <si>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</si>
  <si>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</si>
  <si>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</si>
  <si>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</si>
  <si>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</si>
  <si>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</si>
  <si>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</si>
  <si>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</si>
  <si>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</si>
  <si>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</si>
  <si>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</si>
  <si>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</si>
  <si>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</si>
  <si>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</si>
  <si>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</si>
  <si>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</si>
  <si>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</si>
  <si>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</si>
  <si>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</si>
  <si>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</si>
  <si>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</si>
  <si>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</si>
  <si>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</si>
  <si>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</si>
  <si>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</si>
  <si>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</si>
  <si>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</si>
  <si>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</si>
  <si>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</si>
  <si>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task1-excel-based exploration</t>
  </si>
  <si>
    <t>dataset proftile driven entirely by the formulas over the data sheet</t>
  </si>
  <si>
    <t>number of records</t>
  </si>
  <si>
    <t>number of columns</t>
  </si>
  <si>
    <t>data range start</t>
  </si>
  <si>
    <t>data range end</t>
  </si>
  <si>
    <t>value range</t>
  </si>
  <si>
    <t>field</t>
  </si>
  <si>
    <t>Depth</t>
  </si>
  <si>
    <t>COUNT BY MAGNITUDE TYPE (MAG TYPE ,CASE-NORMALISED)</t>
  </si>
  <si>
    <t>COUNT BY ALERT LEVEL</t>
  </si>
  <si>
    <t>MAGTYPE</t>
  </si>
  <si>
    <t>COUNT</t>
  </si>
  <si>
    <t>ALERT</t>
  </si>
  <si>
    <t>MWW</t>
  </si>
  <si>
    <t>GREEN</t>
  </si>
  <si>
    <t>MWC</t>
  </si>
  <si>
    <t>YELLOW</t>
  </si>
  <si>
    <t>MWB</t>
  </si>
  <si>
    <t>ORANGE</t>
  </si>
  <si>
    <t>MW</t>
  </si>
  <si>
    <t>RED</t>
  </si>
  <si>
    <t>MS</t>
  </si>
  <si>
    <t>(BLANK/NOT ASSESSED)</t>
  </si>
  <si>
    <t>MD</t>
  </si>
  <si>
    <t>TOTAL</t>
  </si>
  <si>
    <t>ML</t>
  </si>
  <si>
    <t>MI</t>
  </si>
  <si>
    <t>MAGNITUDE BAND DISTRIBUTION (CHART SOURCE)</t>
  </si>
  <si>
    <t xml:space="preserve">dataset </t>
  </si>
  <si>
    <t>SIZE</t>
  </si>
  <si>
    <t>6.5-6.9</t>
  </si>
  <si>
    <t>7.0-7.4</t>
  </si>
  <si>
    <t>7.5-7.9</t>
  </si>
  <si>
    <t>8.0-8.4</t>
  </si>
  <si>
    <t>MB</t>
  </si>
  <si>
    <t>8.5-8.9</t>
  </si>
  <si>
    <t>9.0-9.4</t>
  </si>
  <si>
    <t>SIGNIFICANT EARTHQUAKE PER YEAR</t>
  </si>
  <si>
    <t>YEARS</t>
  </si>
  <si>
    <t>BAND</t>
  </si>
  <si>
    <t>RANGE</t>
  </si>
  <si>
    <t>AVG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</si>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</sst>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35" borderId="0" xfId="0" applyFill="1"/>
    <xf numFmtId="0" fontId="0" fillId="33" borderId="0" xfId="0" applyFill="1"/>
    <xf numFmtId="0" fontId="18" fillId="0" borderId="0" xfId="0" applyFont="1" applyAlignment="1">
      <alignment vertical="center"/>
    </xf>
    <xf numFmtId="0" fontId="0" fillId="34" borderId="0" xfId="0" applyFill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TASK!$A$12</c:f>
              <c:strCache>
                <c:ptCount val="1"/>
                <c:pt idx="0">
                  <c:v>magnitude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TASK!$B$12:$E$12</c:f>
              <c:numCache>
                <c:formatCode>General</c:formatCode>
                <c:ptCount val="4"/>
                <c:pt idx="0">
                  <c:v>6.5</c:v>
                </c:pt>
                <c:pt idx="1">
                  <c:v>9.1</c:v>
                </c:pt>
                <c:pt idx="2">
                  <c:v>6.9401500000000125</c:v>
                </c:pt>
                <c:pt idx="3">
                  <c:v>2.5999999999999996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2-454C-A390-3067EAAAC1DD}"/>
            </c:ext>
          </c:extLst>
        </c:ser>
        <c:ser>
          <c:idx val="1"/>
          <c:order val="1"/>
          <c:tx>
            <c:strRef>
              <c:f>TASK!$A$13</c:f>
              <c:strCache>
                <c:ptCount val="1"/>
                <c:pt idx="0">
                  <c:v>Depth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TASK!$B$13:$E$13</c:f>
              <c:numCache>
                <c:formatCode>General</c:formatCode>
                <c:ptCount val="4"/>
                <c:pt idx="0">
                  <c:v>2.7</c:v>
                </c:pt>
                <c:pt idx="1">
                  <c:v>670.81</c:v>
                </c:pt>
                <c:pt idx="2">
                  <c:v>74.612540999999965</c:v>
                </c:pt>
                <c:pt idx="3">
                  <c:v>668.1099999999999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2-454C-A390-3067EAAAC1DD}"/>
            </c:ext>
          </c:extLst>
        </c:ser>
        <c:ser>
          <c:idx val="2"/>
          <c:order val="2"/>
          <c:tx>
            <c:strRef>
              <c:f>TASK!$A$14</c:f>
              <c:strCache>
                <c:ptCount val="1"/>
                <c:pt idx="0">
                  <c:v>sig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TASK!$B$14:$E$14</c:f>
              <c:numCache>
                <c:formatCode>General</c:formatCode>
                <c:ptCount val="4"/>
                <c:pt idx="0">
                  <c:v>650</c:v>
                </c:pt>
                <c:pt idx="1">
                  <c:v>2910</c:v>
                </c:pt>
                <c:pt idx="2">
                  <c:v>847.91499999999996</c:v>
                </c:pt>
                <c:pt idx="3">
                  <c:v>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2-454C-A390-3067EAAAC1DD}"/>
            </c:ext>
          </c:extLst>
        </c:ser>
        <c:ser>
          <c:idx val="3"/>
          <c:order val="3"/>
          <c:tx>
            <c:strRef>
              <c:f>TASK!$A$15</c:f>
              <c:strCache>
                <c:ptCount val="1"/>
                <c:pt idx="0">
                  <c:v>mmi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TASK!$B$11:$E$11</c:f>
              <c:strCache>
                <c:ptCount val="4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  <c:pt idx="3">
                  <c:v>RANGE</c:v>
                </c:pt>
              </c:strCache>
            </c:strRef>
          </c:cat>
          <c:val>
            <c:numRef>
              <c:f>TASK!$B$15:$E$15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6.0270000000000001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82-454C-A390-3067EAAAC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4439279"/>
        <c:axId val="1506108367"/>
        <c:axId val="0"/>
      </c:bar3DChart>
      <c:catAx>
        <c:axId val="197443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08367"/>
        <c:crosses val="autoZero"/>
        <c:auto val="1"/>
        <c:lblAlgn val="ctr"/>
        <c:lblOffset val="100"/>
        <c:noMultiLvlLbl val="0"/>
      </c:catAx>
      <c:valAx>
        <c:axId val="150610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43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TASK!$B$17:$B$18</c:f>
              <c:strCache>
                <c:ptCount val="2"/>
                <c:pt idx="0">
                  <c:v>COUNT BY MAGNITUDE TYPE (MAG TYPE ,CASE-NORMALISED)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TASK!$A$19:$A$27</c:f>
              <c:strCache>
                <c:ptCount val="9"/>
                <c:pt idx="0">
                  <c:v>MWW</c:v>
                </c:pt>
                <c:pt idx="1">
                  <c:v>MWC</c:v>
                </c:pt>
                <c:pt idx="2">
                  <c:v>MWB</c:v>
                </c:pt>
                <c:pt idx="3">
                  <c:v>MB</c:v>
                </c:pt>
                <c:pt idx="4">
                  <c:v>MW</c:v>
                </c:pt>
                <c:pt idx="5">
                  <c:v>MS</c:v>
                </c:pt>
                <c:pt idx="6">
                  <c:v>MD</c:v>
                </c:pt>
                <c:pt idx="7">
                  <c:v>ML</c:v>
                </c:pt>
                <c:pt idx="8">
                  <c:v>MI</c:v>
                </c:pt>
              </c:strCache>
            </c:strRef>
          </c:cat>
          <c:val>
            <c:numRef>
              <c:f>TASK!$B$19:$B$27</c:f>
              <c:numCache>
                <c:formatCode>General</c:formatCode>
                <c:ptCount val="9"/>
                <c:pt idx="0">
                  <c:v>502</c:v>
                </c:pt>
                <c:pt idx="1">
                  <c:v>332</c:v>
                </c:pt>
                <c:pt idx="2">
                  <c:v>100</c:v>
                </c:pt>
                <c:pt idx="3">
                  <c:v>4</c:v>
                </c:pt>
                <c:pt idx="4">
                  <c:v>51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F-4AB0-99F5-A0B68777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1748351"/>
        <c:axId val="1506074767"/>
      </c:barChart>
      <c:catAx>
        <c:axId val="206174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074767"/>
        <c:crosses val="autoZero"/>
        <c:auto val="1"/>
        <c:lblAlgn val="ctr"/>
        <c:lblOffset val="100"/>
        <c:noMultiLvlLbl val="0"/>
      </c:catAx>
      <c:valAx>
        <c:axId val="150607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4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TASK!$D$29:$D$30</c:f>
              <c:strCache>
                <c:ptCount val="2"/>
                <c:pt idx="0">
                  <c:v>SIGNIFICANT EARTHQUAKE PER YEAR</c:v>
                </c:pt>
                <c:pt idx="1">
                  <c:v>YEARS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TASK!$D$31:$D$59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F-485B-B796-80B3F2CFA619}"/>
            </c:ext>
          </c:extLst>
        </c:ser>
        <c:ser>
          <c:idx val="1"/>
          <c:order val="1"/>
          <c:tx>
            <c:strRef>
              <c:f>TASK!$E$29:$E$30</c:f>
              <c:strCache>
                <c:ptCount val="2"/>
                <c:pt idx="0">
                  <c:v>SIGNIFICANT EARTHQUAKE PER YEAR</c:v>
                </c:pt>
                <c:pt idx="1">
                  <c:v>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TASK!$E$31:$E$59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F-485B-B796-80B3F2CFA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735359"/>
        <c:axId val="2029584847"/>
      </c:lineChart>
      <c:catAx>
        <c:axId val="2061735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84847"/>
        <c:crosses val="autoZero"/>
        <c:auto val="1"/>
        <c:lblAlgn val="ctr"/>
        <c:lblOffset val="100"/>
        <c:noMultiLvlLbl val="0"/>
      </c:catAx>
      <c:valAx>
        <c:axId val="20295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3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4759405074366E-2"/>
          <c:y val="0.19209499854184894"/>
          <c:w val="0.89030796150481195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TASK!$E$17:$E$18</c:f>
              <c:strCache>
                <c:ptCount val="2"/>
                <c:pt idx="0">
                  <c:v>COUNT BY ALERT LEVEL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TASK!$D$19:$D$23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(BLANK/NOT ASSESSED)</c:v>
                </c:pt>
              </c:strCache>
            </c:strRef>
          </c:cat>
          <c:val>
            <c:numRef>
              <c:f>TASK!$E$19:$E$23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199-9D9E-0968DDE8D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29023"/>
        <c:axId val="2029590607"/>
      </c:barChart>
      <c:catAx>
        <c:axId val="519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90607"/>
        <c:crosses val="autoZero"/>
        <c:auto val="1"/>
        <c:lblAlgn val="ctr"/>
        <c:lblOffset val="100"/>
        <c:noMultiLvlLbl val="0"/>
      </c:catAx>
      <c:valAx>
        <c:axId val="202959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TASK!$B$30:$B$31</c:f>
              <c:strCache>
                <c:ptCount val="2"/>
                <c:pt idx="0">
                  <c:v>MAGNITUDE BAND DISTRIBUTION (CHART SOURCE)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TASK!$A$32:$A$37</c:f>
              <c:strCache>
                <c:ptCount val="6"/>
                <c:pt idx="0">
                  <c:v>6.5-6.9</c:v>
                </c:pt>
                <c:pt idx="1">
                  <c:v>7.0-7.4</c:v>
                </c:pt>
                <c:pt idx="2">
                  <c:v>7.5-7.9</c:v>
                </c:pt>
                <c:pt idx="3">
                  <c:v>8.0-8.4</c:v>
                </c:pt>
                <c:pt idx="4">
                  <c:v>8.5-8.9</c:v>
                </c:pt>
                <c:pt idx="5">
                  <c:v>9.0-9.4</c:v>
                </c:pt>
              </c:strCache>
            </c:strRef>
          </c:cat>
          <c:val>
            <c:numRef>
              <c:f>TASK!$B$32:$B$37</c:f>
              <c:numCache>
                <c:formatCode>General</c:formatCode>
                <c:ptCount val="6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27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D-419A-9E9E-6052FE3F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225183"/>
        <c:axId val="2029552687"/>
      </c:barChart>
      <c:catAx>
        <c:axId val="196322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52687"/>
        <c:crosses val="autoZero"/>
        <c:auto val="1"/>
        <c:lblAlgn val="ctr"/>
        <c:lblOffset val="100"/>
        <c:noMultiLvlLbl val="0"/>
      </c:catAx>
      <c:valAx>
        <c:axId val="20295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22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0</xdr:rowOff>
    </xdr:from>
    <xdr:to>
      <xdr:col>13</xdr:col>
      <xdr:colOff>419100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8A97BA-8B34-9B25-EAB0-6BEBDB956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144780</xdr:colOff>
      <xdr:row>50</xdr:row>
      <xdr:rowOff>80010</xdr:rowOff>
    </xdr:from>
    <xdr:to>
      <xdr:col>13</xdr:col>
      <xdr:colOff>449580</xdr:colOff>
      <xdr:row>65</xdr:row>
      <xdr:rowOff>80010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79A44F-9593-0D42-7CAE-F2BA96B7E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289560</xdr:colOff>
      <xdr:row>66</xdr:row>
      <xdr:rowOff>57150</xdr:rowOff>
    </xdr:from>
    <xdr:to>
      <xdr:col>13</xdr:col>
      <xdr:colOff>594360</xdr:colOff>
      <xdr:row>81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7DDCCA-074D-2D45-22B9-B781B6CCB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152400</xdr:colOff>
      <xdr:row>15</xdr:row>
      <xdr:rowOff>148590</xdr:rowOff>
    </xdr:from>
    <xdr:to>
      <xdr:col>13</xdr:col>
      <xdr:colOff>457200</xdr:colOff>
      <xdr:row>30</xdr:row>
      <xdr:rowOff>148590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0A19B2-D570-E0F8-8259-5C5AB1F56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137160</xdr:colOff>
      <xdr:row>32</xdr:row>
      <xdr:rowOff>34290</xdr:rowOff>
    </xdr:from>
    <xdr:to>
      <xdr:col>13</xdr:col>
      <xdr:colOff>441960</xdr:colOff>
      <xdr:row>47</xdr:row>
      <xdr:rowOff>34290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399162B-55A7-07AB-617E-5598336DC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ABB8-464E-46F5-B61C-D7BE480FDA34}">
  <dimension ref="A1:S1001"/>
  <sheetViews>
    <sheetView workbookViewId="0">
      <selection activeCell="D741" sqref="D741"/>
    </sheetView>
  </sheetViews>
  <sheetFormatPr defaultRowHeight="14.4"/>
  <cols>
    <col min="1" max="1" width="52.6640625" bestFit="1" customWidth="1"/>
    <col min="3" max="3" width="8.66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</row>
    <row r="3" spans="1:19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</row>
    <row r="4" spans="1:19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</row>
    <row r="5" spans="1:19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</row>
    <row r="6" spans="1:19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</row>
    <row r="7" spans="1:19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</row>
    <row r="8" spans="1:19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</row>
    <row r="9" spans="1:19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</row>
    <row r="10" spans="1:19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</row>
    <row r="11" spans="1:19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</row>
    <row r="12" spans="1:19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</row>
    <row r="13" spans="1:19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</row>
    <row r="14" spans="1:19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</row>
    <row r="15" spans="1:19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</row>
    <row r="16" spans="1:19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</row>
    <row r="17" spans="1:19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</row>
    <row r="18" spans="1:19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</row>
    <row r="19" spans="1:19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</row>
    <row r="20" spans="1:19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</row>
    <row r="21" spans="1:19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</row>
    <row r="22" spans="1:19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</row>
    <row r="23" spans="1:19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</row>
    <row r="24" spans="1:19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</row>
    <row r="25" spans="1:19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</row>
    <row r="26" spans="1:19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</row>
    <row r="27" spans="1:19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</row>
    <row r="28" spans="1:19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</row>
    <row r="29" spans="1:19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</row>
    <row r="30" spans="1:19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</row>
    <row r="31" spans="1:19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</row>
    <row r="32" spans="1:19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</row>
    <row r="33" spans="1:19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</row>
    <row r="34" spans="1:19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</row>
    <row r="35" spans="1:19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</row>
    <row r="36" spans="1:19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</row>
    <row r="37" spans="1:19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</row>
    <row r="38" spans="1:19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</row>
    <row r="39" spans="1:19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</row>
    <row r="40" spans="1:19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</row>
    <row r="41" spans="1:19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</row>
    <row r="42" spans="1:19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</row>
    <row r="43" spans="1:19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</row>
    <row r="44" spans="1:19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</row>
    <row r="45" spans="1:19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</row>
    <row r="46" spans="1:19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</row>
    <row r="47" spans="1:19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</row>
    <row r="48" spans="1:19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</row>
    <row r="49" spans="1:19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</row>
    <row r="50" spans="1:19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</row>
    <row r="51" spans="1:19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</row>
    <row r="52" spans="1:19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</row>
    <row r="53" spans="1:19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</row>
    <row r="54" spans="1:19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</row>
    <row r="55" spans="1:19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</row>
    <row r="56" spans="1:19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</row>
    <row r="57" spans="1:19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</row>
    <row r="58" spans="1:19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</row>
    <row r="59" spans="1:19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</row>
    <row r="60" spans="1:19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</row>
    <row r="61" spans="1:19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</row>
    <row r="62" spans="1:19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</row>
    <row r="63" spans="1:19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</row>
    <row r="64" spans="1:19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</row>
    <row r="65" spans="1:19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</row>
    <row r="66" spans="1:19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</row>
    <row r="67" spans="1:19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</row>
    <row r="68" spans="1:19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</row>
    <row r="69" spans="1:19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</row>
    <row r="70" spans="1:19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</row>
    <row r="71" spans="1:19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</row>
    <row r="72" spans="1:19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</row>
    <row r="73" spans="1:19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</row>
    <row r="74" spans="1:19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</row>
    <row r="75" spans="1:19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</row>
    <row r="76" spans="1:19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</row>
    <row r="77" spans="1:19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</row>
    <row r="78" spans="1:19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</row>
    <row r="79" spans="1:19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</row>
    <row r="80" spans="1:19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</row>
    <row r="81" spans="1:19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</row>
    <row r="82" spans="1:19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</row>
    <row r="83" spans="1:19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</row>
    <row r="84" spans="1:19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</row>
    <row r="85" spans="1:19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</row>
    <row r="86" spans="1:19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</row>
    <row r="87" spans="1:19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</row>
    <row r="88" spans="1:19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</row>
    <row r="89" spans="1:19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</row>
    <row r="90" spans="1:19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</row>
    <row r="91" spans="1:19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</row>
    <row r="92" spans="1:19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</row>
    <row r="93" spans="1:19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</row>
    <row r="94" spans="1:19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</row>
    <row r="95" spans="1:19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</row>
    <row r="96" spans="1:19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</row>
    <row r="97" spans="1:19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</row>
    <row r="98" spans="1:19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</row>
    <row r="99" spans="1:19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</row>
    <row r="100" spans="1:19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</row>
    <row r="101" spans="1:19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</row>
    <row r="102" spans="1:19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</row>
    <row r="103" spans="1:19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</row>
    <row r="104" spans="1:19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</row>
    <row r="105" spans="1:19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</row>
    <row r="106" spans="1:19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</row>
    <row r="107" spans="1:19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</row>
    <row r="108" spans="1:19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</row>
    <row r="109" spans="1:19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</row>
    <row r="110" spans="1:19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</row>
    <row r="111" spans="1:19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</row>
    <row r="112" spans="1:19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</row>
    <row r="113" spans="1:19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</row>
    <row r="114" spans="1:19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</row>
    <row r="115" spans="1:19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</row>
    <row r="116" spans="1:19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</row>
    <row r="117" spans="1:19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</row>
    <row r="118" spans="1:19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</row>
    <row r="119" spans="1:19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</row>
    <row r="120" spans="1:19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</row>
    <row r="121" spans="1:19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</row>
    <row r="122" spans="1:19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</row>
    <row r="123" spans="1:19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</row>
    <row r="124" spans="1:19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</row>
    <row r="125" spans="1:19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</row>
    <row r="126" spans="1:19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</row>
    <row r="127" spans="1:19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</row>
    <row r="128" spans="1:19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</row>
    <row r="129" spans="1:19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</row>
    <row r="130" spans="1:19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</row>
    <row r="131" spans="1:19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</row>
    <row r="132" spans="1:19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</row>
    <row r="133" spans="1:19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</row>
    <row r="134" spans="1:19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</row>
    <row r="135" spans="1:19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</row>
    <row r="136" spans="1:19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</row>
    <row r="137" spans="1:19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</row>
    <row r="138" spans="1:19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</row>
    <row r="139" spans="1:19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</row>
    <row r="140" spans="1:19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</row>
    <row r="141" spans="1:19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</row>
    <row r="142" spans="1:19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</row>
    <row r="143" spans="1:19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</row>
    <row r="144" spans="1:19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</row>
    <row r="145" spans="1:19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</row>
    <row r="146" spans="1:19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</row>
    <row r="147" spans="1:19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</row>
    <row r="148" spans="1:19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</row>
    <row r="149" spans="1:19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</row>
    <row r="150" spans="1:19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</row>
    <row r="151" spans="1:19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</row>
    <row r="152" spans="1:19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</row>
    <row r="153" spans="1:19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</row>
    <row r="154" spans="1:19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</row>
    <row r="155" spans="1:19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</row>
    <row r="156" spans="1:19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</row>
    <row r="157" spans="1:19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</row>
    <row r="158" spans="1:19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</row>
    <row r="159" spans="1:19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</row>
    <row r="160" spans="1:19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</row>
    <row r="161" spans="1:19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</row>
    <row r="162" spans="1:19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</row>
    <row r="163" spans="1:19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</row>
    <row r="164" spans="1:19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</row>
    <row r="165" spans="1:19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</row>
    <row r="166" spans="1:19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</row>
    <row r="167" spans="1:19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</row>
    <row r="168" spans="1:19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</row>
    <row r="169" spans="1:19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</row>
    <row r="170" spans="1:19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</row>
    <row r="171" spans="1:19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</row>
    <row r="172" spans="1:19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</row>
    <row r="173" spans="1:19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</row>
    <row r="174" spans="1:19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</row>
    <row r="175" spans="1:19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</row>
    <row r="176" spans="1:19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</row>
    <row r="177" spans="1:19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</row>
    <row r="178" spans="1:19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</row>
    <row r="179" spans="1:19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</row>
    <row r="180" spans="1:19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</row>
    <row r="181" spans="1:19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</row>
    <row r="182" spans="1:19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</row>
    <row r="183" spans="1:19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</row>
    <row r="184" spans="1:19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</row>
    <row r="185" spans="1:19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</row>
    <row r="186" spans="1:19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</row>
    <row r="187" spans="1:19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</row>
    <row r="188" spans="1:19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</row>
    <row r="189" spans="1:19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</row>
    <row r="190" spans="1:19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</row>
    <row r="191" spans="1:19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</row>
    <row r="192" spans="1:19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</row>
    <row r="193" spans="1:19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</row>
    <row r="194" spans="1:19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</row>
    <row r="195" spans="1:19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</row>
    <row r="196" spans="1:19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</row>
    <row r="197" spans="1:19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</row>
    <row r="198" spans="1:19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</row>
    <row r="199" spans="1:19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</row>
    <row r="200" spans="1:19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</row>
    <row r="201" spans="1:19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</row>
    <row r="202" spans="1:19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</row>
    <row r="203" spans="1:19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</row>
    <row r="204" spans="1:19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</row>
    <row r="205" spans="1:19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</row>
    <row r="206" spans="1:19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</row>
    <row r="207" spans="1:19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</row>
    <row r="208" spans="1:19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</row>
    <row r="209" spans="1:19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</row>
    <row r="210" spans="1:19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</row>
    <row r="211" spans="1:19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</row>
    <row r="212" spans="1:19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</row>
    <row r="213" spans="1:19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</row>
    <row r="214" spans="1:19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</row>
    <row r="215" spans="1:19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</row>
    <row r="216" spans="1:19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</row>
    <row r="217" spans="1:19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</row>
    <row r="218" spans="1:19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</row>
    <row r="219" spans="1:19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</row>
    <row r="220" spans="1:19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</row>
    <row r="221" spans="1:19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</row>
    <row r="222" spans="1:19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</row>
    <row r="223" spans="1:19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</row>
    <row r="224" spans="1:19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</row>
    <row r="225" spans="1:19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</row>
    <row r="226" spans="1:19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</row>
    <row r="227" spans="1:19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</row>
    <row r="228" spans="1:19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</row>
    <row r="229" spans="1:19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</row>
    <row r="230" spans="1:19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</row>
    <row r="231" spans="1:19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</row>
    <row r="232" spans="1:19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</row>
    <row r="233" spans="1:19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</row>
    <row r="234" spans="1:19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</row>
    <row r="235" spans="1:19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</row>
    <row r="236" spans="1:19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</row>
    <row r="237" spans="1:19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</row>
    <row r="238" spans="1:19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</row>
    <row r="239" spans="1:19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</row>
    <row r="240" spans="1:19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</row>
    <row r="241" spans="1:19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</row>
    <row r="242" spans="1:19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</row>
    <row r="243" spans="1:19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</row>
    <row r="244" spans="1:19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</row>
    <row r="245" spans="1:19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</row>
    <row r="246" spans="1:19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</row>
    <row r="247" spans="1:19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</row>
    <row r="248" spans="1:19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</row>
    <row r="249" spans="1:19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</row>
    <row r="250" spans="1:19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</row>
    <row r="251" spans="1:19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</row>
    <row r="252" spans="1:19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</row>
    <row r="253" spans="1:19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</row>
    <row r="254" spans="1:19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</row>
    <row r="255" spans="1:19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</row>
    <row r="256" spans="1:19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</row>
    <row r="257" spans="1:19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</row>
    <row r="258" spans="1:19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</row>
    <row r="259" spans="1:19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</row>
    <row r="260" spans="1:19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</row>
    <row r="261" spans="1:19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</row>
    <row r="262" spans="1:19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</row>
    <row r="263" spans="1:19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</row>
    <row r="264" spans="1:19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</row>
    <row r="265" spans="1:19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</row>
    <row r="266" spans="1:19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</row>
    <row r="267" spans="1:19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</row>
    <row r="268" spans="1:19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</row>
    <row r="269" spans="1:19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</row>
    <row r="270" spans="1:19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</row>
    <row r="271" spans="1:19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</row>
    <row r="272" spans="1:19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</row>
    <row r="273" spans="1:19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</row>
    <row r="274" spans="1:19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</row>
    <row r="275" spans="1:19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</row>
    <row r="276" spans="1:19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</row>
    <row r="277" spans="1:19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</row>
    <row r="278" spans="1:19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</row>
    <row r="279" spans="1:19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</row>
    <row r="280" spans="1:19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</row>
    <row r="281" spans="1:19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</row>
    <row r="282" spans="1:19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</row>
    <row r="283" spans="1:19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</row>
    <row r="284" spans="1:19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</row>
    <row r="285" spans="1:19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</row>
    <row r="286" spans="1:19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</row>
    <row r="287" spans="1:19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</row>
    <row r="288" spans="1:19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</row>
    <row r="289" spans="1:19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</row>
    <row r="290" spans="1:19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</row>
    <row r="291" spans="1:19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</row>
    <row r="292" spans="1:19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</row>
    <row r="293" spans="1:19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</row>
    <row r="294" spans="1:19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</row>
    <row r="295" spans="1:19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</row>
    <row r="296" spans="1:19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</row>
    <row r="297" spans="1:19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</row>
    <row r="298" spans="1:19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</row>
    <row r="299" spans="1:19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</row>
    <row r="300" spans="1:19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</row>
    <row r="301" spans="1:19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</row>
    <row r="302" spans="1:19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</row>
    <row r="303" spans="1:19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</row>
    <row r="304" spans="1:19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</row>
    <row r="305" spans="1:19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</row>
    <row r="306" spans="1:19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</row>
    <row r="307" spans="1:19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</row>
    <row r="308" spans="1:19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</row>
    <row r="309" spans="1:19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</row>
    <row r="310" spans="1:19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</row>
    <row r="311" spans="1:19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</row>
    <row r="312" spans="1:19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</row>
    <row r="313" spans="1:19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</row>
    <row r="314" spans="1:19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</row>
    <row r="315" spans="1:19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</row>
    <row r="316" spans="1:19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</row>
    <row r="317" spans="1:19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</row>
    <row r="318" spans="1:19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</row>
    <row r="319" spans="1:19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</row>
    <row r="320" spans="1:19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</row>
    <row r="321" spans="1:19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</row>
    <row r="322" spans="1:19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</row>
    <row r="323" spans="1:19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</row>
    <row r="324" spans="1:19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</row>
    <row r="325" spans="1:19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</row>
    <row r="326" spans="1:19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</row>
    <row r="327" spans="1:19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</row>
    <row r="328" spans="1:19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</row>
    <row r="329" spans="1:19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</row>
    <row r="330" spans="1:19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</row>
    <row r="331" spans="1:19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</row>
    <row r="332" spans="1:19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</row>
    <row r="333" spans="1:19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</row>
    <row r="334" spans="1:19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</row>
    <row r="335" spans="1:19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</row>
    <row r="336" spans="1:19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</row>
    <row r="337" spans="1:19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</row>
    <row r="338" spans="1:19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</row>
    <row r="339" spans="1:19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</row>
    <row r="340" spans="1:19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</row>
    <row r="341" spans="1:19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</row>
    <row r="342" spans="1:19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</row>
    <row r="343" spans="1:19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</row>
    <row r="344" spans="1:19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</row>
    <row r="345" spans="1:19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</row>
    <row r="346" spans="1:19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</row>
    <row r="347" spans="1:19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</row>
    <row r="348" spans="1:19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</row>
    <row r="349" spans="1:19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</row>
    <row r="350" spans="1:19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</row>
    <row r="351" spans="1:19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</row>
    <row r="352" spans="1:19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</row>
    <row r="353" spans="1:19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</row>
    <row r="354" spans="1:19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</row>
    <row r="355" spans="1:19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</row>
    <row r="356" spans="1:19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</row>
    <row r="357" spans="1:19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</row>
    <row r="358" spans="1:19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</row>
    <row r="359" spans="1:19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</row>
    <row r="360" spans="1:19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</row>
    <row r="361" spans="1:19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</row>
    <row r="362" spans="1:19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</row>
    <row r="363" spans="1:19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</row>
    <row r="364" spans="1:19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</row>
    <row r="365" spans="1:19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</row>
    <row r="366" spans="1:19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</row>
    <row r="367" spans="1:19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</row>
    <row r="368" spans="1:19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</row>
    <row r="369" spans="1:19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</row>
    <row r="370" spans="1:19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</row>
    <row r="371" spans="1:19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</row>
    <row r="372" spans="1:19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</row>
    <row r="373" spans="1:19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</row>
    <row r="374" spans="1:19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</row>
    <row r="375" spans="1:19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</row>
    <row r="376" spans="1:19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</row>
    <row r="377" spans="1:19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</row>
    <row r="378" spans="1:19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</row>
    <row r="379" spans="1:19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</row>
    <row r="380" spans="1:19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</row>
    <row r="381" spans="1:19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</row>
    <row r="382" spans="1:19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</row>
    <row r="383" spans="1:19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</row>
    <row r="384" spans="1:19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</row>
    <row r="385" spans="1:19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</row>
    <row r="386" spans="1:19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</row>
    <row r="387" spans="1:19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</row>
    <row r="388" spans="1:19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</row>
    <row r="389" spans="1:19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</row>
    <row r="390" spans="1:19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</row>
    <row r="391" spans="1:19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</row>
    <row r="392" spans="1:19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</row>
    <row r="393" spans="1:19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</row>
    <row r="394" spans="1:19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</row>
    <row r="395" spans="1:19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</row>
    <row r="396" spans="1:19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</row>
    <row r="397" spans="1:19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</row>
    <row r="398" spans="1:19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</row>
    <row r="399" spans="1:19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</row>
    <row r="400" spans="1:19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</row>
    <row r="401" spans="1:19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</row>
    <row r="402" spans="1:19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</row>
    <row r="403" spans="1:19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</row>
    <row r="404" spans="1:19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</row>
    <row r="405" spans="1:19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</row>
    <row r="406" spans="1:19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</row>
    <row r="407" spans="1:19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</row>
    <row r="408" spans="1:19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</row>
    <row r="409" spans="1:19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</row>
    <row r="410" spans="1:19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</row>
    <row r="411" spans="1:19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</row>
    <row r="412" spans="1:19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</row>
    <row r="413" spans="1:19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</row>
    <row r="414" spans="1:19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</row>
    <row r="415" spans="1:19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</row>
    <row r="416" spans="1:19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</row>
    <row r="417" spans="1:19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</row>
    <row r="418" spans="1:19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</row>
    <row r="419" spans="1:19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</row>
    <row r="420" spans="1:19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</row>
    <row r="421" spans="1:19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</row>
    <row r="422" spans="1:19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</row>
    <row r="423" spans="1:19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</row>
    <row r="424" spans="1:19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</row>
    <row r="425" spans="1:19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</row>
    <row r="426" spans="1:19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</row>
    <row r="427" spans="1:19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</row>
    <row r="428" spans="1:19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</row>
    <row r="429" spans="1:19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</row>
    <row r="430" spans="1:19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</row>
    <row r="431" spans="1:19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</row>
    <row r="432" spans="1:19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</row>
    <row r="433" spans="1:19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</row>
    <row r="434" spans="1:19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</row>
    <row r="435" spans="1:19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</row>
    <row r="436" spans="1:19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</row>
    <row r="437" spans="1:19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</row>
    <row r="438" spans="1:19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</row>
    <row r="439" spans="1:19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</row>
    <row r="440" spans="1:19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</row>
    <row r="441" spans="1:19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</row>
    <row r="442" spans="1:19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</row>
    <row r="443" spans="1:19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</row>
    <row r="444" spans="1:19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</row>
    <row r="445" spans="1:19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</row>
    <row r="446" spans="1:19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</row>
    <row r="447" spans="1:19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</row>
    <row r="448" spans="1:19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</row>
    <row r="449" spans="1:19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</row>
    <row r="450" spans="1:19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</row>
    <row r="451" spans="1:19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</row>
    <row r="452" spans="1:19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</row>
    <row r="453" spans="1:19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</row>
    <row r="454" spans="1:19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</row>
    <row r="455" spans="1:19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</row>
    <row r="456" spans="1:19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</row>
    <row r="457" spans="1:19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</row>
    <row r="458" spans="1:19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</row>
    <row r="459" spans="1:19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</row>
    <row r="460" spans="1:19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</row>
    <row r="461" spans="1:19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</row>
    <row r="462" spans="1:19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</row>
    <row r="463" spans="1:19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</row>
    <row r="464" spans="1:19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</row>
    <row r="465" spans="1:19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</row>
    <row r="466" spans="1:19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</row>
    <row r="467" spans="1:19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</row>
    <row r="468" spans="1:19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</row>
    <row r="469" spans="1:19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</row>
    <row r="470" spans="1:19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</row>
    <row r="471" spans="1:19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</row>
    <row r="472" spans="1:19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</row>
    <row r="473" spans="1:19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</row>
    <row r="474" spans="1:19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</row>
    <row r="475" spans="1:19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</row>
    <row r="476" spans="1:19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</row>
    <row r="477" spans="1:19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</row>
    <row r="478" spans="1:19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</row>
    <row r="479" spans="1:19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</row>
    <row r="480" spans="1:19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</row>
    <row r="481" spans="1:19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</row>
    <row r="482" spans="1:19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</row>
    <row r="483" spans="1:19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</row>
    <row r="484" spans="1:19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</row>
    <row r="485" spans="1:19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</row>
    <row r="486" spans="1:19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</row>
    <row r="487" spans="1:19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</row>
    <row r="488" spans="1:19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</row>
    <row r="489" spans="1:19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</row>
    <row r="490" spans="1:19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</row>
    <row r="491" spans="1:19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</row>
    <row r="492" spans="1:19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</row>
    <row r="493" spans="1:19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</row>
    <row r="494" spans="1:19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</row>
    <row r="495" spans="1:19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</row>
    <row r="496" spans="1:19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</row>
    <row r="497" spans="1:19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</row>
    <row r="498" spans="1:19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</row>
    <row r="499" spans="1:19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</row>
    <row r="500" spans="1:19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</row>
    <row r="501" spans="1:19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</row>
    <row r="502" spans="1:19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</row>
    <row r="503" spans="1:19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</row>
    <row r="504" spans="1:19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</row>
    <row r="505" spans="1:19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</row>
    <row r="506" spans="1:19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</row>
    <row r="507" spans="1:19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</row>
    <row r="508" spans="1:19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</row>
    <row r="509" spans="1:19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</row>
    <row r="510" spans="1:19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</row>
    <row r="511" spans="1:19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</row>
    <row r="512" spans="1:19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</row>
    <row r="513" spans="1:19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</row>
    <row r="514" spans="1:19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</row>
    <row r="515" spans="1:19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</row>
    <row r="516" spans="1:19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</row>
    <row r="517" spans="1:19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</row>
    <row r="518" spans="1:19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</row>
    <row r="519" spans="1:19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</row>
    <row r="520" spans="1:19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</row>
    <row r="521" spans="1:19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</row>
    <row r="522" spans="1:19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</row>
    <row r="523" spans="1:19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</row>
    <row r="524" spans="1:19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</row>
    <row r="525" spans="1:19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</row>
    <row r="526" spans="1:19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</row>
    <row r="527" spans="1:19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</row>
    <row r="528" spans="1:19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</row>
    <row r="529" spans="1:19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</row>
    <row r="530" spans="1:19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</row>
    <row r="531" spans="1:19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</row>
    <row r="532" spans="1:19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</row>
    <row r="533" spans="1:19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</row>
    <row r="534" spans="1:19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</row>
    <row r="535" spans="1:19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</row>
    <row r="536" spans="1:19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</row>
    <row r="537" spans="1:19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</row>
    <row r="538" spans="1:19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</row>
    <row r="539" spans="1:19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</row>
    <row r="540" spans="1:19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</row>
    <row r="541" spans="1:19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</row>
    <row r="542" spans="1:19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</row>
    <row r="543" spans="1:19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</row>
    <row r="544" spans="1:19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</row>
    <row r="545" spans="1:19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</row>
    <row r="546" spans="1:19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</row>
    <row r="547" spans="1:19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</row>
    <row r="548" spans="1:19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</row>
    <row r="549" spans="1:19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</row>
    <row r="550" spans="1:19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</row>
    <row r="551" spans="1:19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</row>
    <row r="552" spans="1:19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</row>
    <row r="553" spans="1:19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</row>
    <row r="554" spans="1:19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</row>
    <row r="555" spans="1:19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</row>
    <row r="556" spans="1:19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</row>
    <row r="557" spans="1:19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</row>
    <row r="558" spans="1:19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</row>
    <row r="559" spans="1:19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</row>
    <row r="560" spans="1:19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</row>
    <row r="561" spans="1:19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</row>
    <row r="562" spans="1:19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</row>
    <row r="563" spans="1:19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</row>
    <row r="564" spans="1:19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</row>
    <row r="565" spans="1:19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</row>
    <row r="566" spans="1:19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</row>
    <row r="567" spans="1:19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</row>
    <row r="568" spans="1:19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</row>
    <row r="569" spans="1:19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</row>
    <row r="570" spans="1:19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</row>
    <row r="571" spans="1:19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</row>
    <row r="572" spans="1:19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</row>
    <row r="573" spans="1:19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</row>
    <row r="574" spans="1:19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</row>
    <row r="575" spans="1:19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</row>
    <row r="576" spans="1:19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</row>
    <row r="577" spans="1:19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</row>
    <row r="578" spans="1:19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</row>
    <row r="579" spans="1:19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</row>
    <row r="580" spans="1:19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</row>
    <row r="581" spans="1:19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</row>
    <row r="582" spans="1:19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</row>
    <row r="583" spans="1:19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</row>
    <row r="584" spans="1:19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</row>
    <row r="585" spans="1:19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</row>
    <row r="586" spans="1:19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</row>
    <row r="587" spans="1:19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</row>
    <row r="588" spans="1:19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</row>
    <row r="589" spans="1:19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</row>
    <row r="590" spans="1:19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</row>
    <row r="591" spans="1:19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</row>
    <row r="592" spans="1:19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</row>
    <row r="593" spans="1:19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</row>
    <row r="594" spans="1:19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</row>
    <row r="595" spans="1:19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</row>
    <row r="596" spans="1:19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</row>
    <row r="597" spans="1:19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</row>
    <row r="598" spans="1:19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</row>
    <row r="599" spans="1:19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</row>
    <row r="600" spans="1:19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</row>
    <row r="601" spans="1:19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</row>
    <row r="602" spans="1:19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</row>
    <row r="603" spans="1:19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</row>
    <row r="604" spans="1:19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</row>
    <row r="605" spans="1:19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</row>
    <row r="606" spans="1:19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</row>
    <row r="607" spans="1:19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</row>
    <row r="608" spans="1:19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</row>
    <row r="609" spans="1:19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</row>
    <row r="610" spans="1:19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</row>
    <row r="611" spans="1:19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</row>
    <row r="612" spans="1:19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</row>
    <row r="613" spans="1:19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</row>
    <row r="614" spans="1:19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</row>
    <row r="615" spans="1:19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</row>
    <row r="616" spans="1:19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</row>
    <row r="617" spans="1:19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</row>
    <row r="618" spans="1:19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</row>
    <row r="619" spans="1:19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</row>
    <row r="620" spans="1:19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</row>
    <row r="621" spans="1:19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</row>
    <row r="622" spans="1:19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</row>
    <row r="623" spans="1:19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</row>
    <row r="624" spans="1:19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</row>
    <row r="625" spans="1:19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</row>
    <row r="626" spans="1:19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</row>
    <row r="627" spans="1:19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</row>
    <row r="628" spans="1:19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</row>
    <row r="629" spans="1:19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</row>
    <row r="630" spans="1:19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</row>
    <row r="631" spans="1:19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</row>
    <row r="632" spans="1:19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</row>
    <row r="633" spans="1:19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</row>
    <row r="634" spans="1:19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</row>
    <row r="635" spans="1:19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</row>
    <row r="636" spans="1:19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</row>
    <row r="637" spans="1:19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</row>
    <row r="638" spans="1:19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</row>
    <row r="639" spans="1:19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</row>
    <row r="640" spans="1:19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</row>
    <row r="641" spans="1:19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</row>
    <row r="642" spans="1:19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</row>
    <row r="643" spans="1:19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</row>
    <row r="644" spans="1:19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</row>
    <row r="645" spans="1:19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</row>
    <row r="646" spans="1:19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</row>
    <row r="647" spans="1:19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</row>
    <row r="648" spans="1:19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</row>
    <row r="649" spans="1:19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</row>
    <row r="650" spans="1:19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</row>
    <row r="651" spans="1:19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</row>
    <row r="652" spans="1:19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</row>
    <row r="653" spans="1:19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</row>
    <row r="654" spans="1:19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</row>
    <row r="655" spans="1:19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</row>
    <row r="656" spans="1:19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</row>
    <row r="657" spans="1:19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</row>
    <row r="658" spans="1:19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</row>
    <row r="659" spans="1:19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</row>
    <row r="660" spans="1:19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</row>
    <row r="661" spans="1:19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</row>
    <row r="662" spans="1:19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</row>
    <row r="663" spans="1:19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</row>
    <row r="664" spans="1:19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</row>
    <row r="665" spans="1:19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</row>
    <row r="666" spans="1:19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</row>
    <row r="667" spans="1:19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</row>
    <row r="668" spans="1:19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</row>
    <row r="669" spans="1:19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</row>
    <row r="670" spans="1:19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</row>
    <row r="671" spans="1:19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</row>
    <row r="672" spans="1:19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</row>
    <row r="673" spans="1:19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</row>
    <row r="674" spans="1:19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</row>
    <row r="675" spans="1:19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</row>
    <row r="676" spans="1:19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</row>
    <row r="677" spans="1:19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</row>
    <row r="678" spans="1:19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</row>
    <row r="679" spans="1:19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</row>
    <row r="680" spans="1:19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</row>
    <row r="681" spans="1:19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</row>
    <row r="682" spans="1:19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</row>
    <row r="683" spans="1:19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</row>
    <row r="684" spans="1:19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</row>
    <row r="685" spans="1:19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</row>
    <row r="686" spans="1:19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</row>
    <row r="687" spans="1:19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</row>
    <row r="688" spans="1:19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</row>
    <row r="689" spans="1:19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</row>
    <row r="690" spans="1:19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</row>
    <row r="691" spans="1:19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</row>
    <row r="692" spans="1:19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</row>
    <row r="693" spans="1:19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</row>
    <row r="694" spans="1:19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</row>
    <row r="695" spans="1:19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</row>
    <row r="696" spans="1:19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</row>
    <row r="697" spans="1:19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</row>
    <row r="698" spans="1:19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</row>
    <row r="699" spans="1:19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</row>
    <row r="700" spans="1:19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</row>
    <row r="701" spans="1:19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</row>
    <row r="702" spans="1:19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</row>
    <row r="703" spans="1:19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</row>
    <row r="704" spans="1:19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</row>
    <row r="705" spans="1:19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</row>
    <row r="706" spans="1:19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</row>
    <row r="707" spans="1:19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</row>
    <row r="708" spans="1:19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</row>
    <row r="709" spans="1:19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</row>
    <row r="710" spans="1:19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</row>
    <row r="711" spans="1:19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</row>
    <row r="712" spans="1:19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</row>
    <row r="713" spans="1:19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</row>
    <row r="714" spans="1:19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</row>
    <row r="715" spans="1:19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</row>
    <row r="716" spans="1:19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</row>
    <row r="717" spans="1:19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</row>
    <row r="718" spans="1:19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</row>
    <row r="719" spans="1:19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</row>
    <row r="720" spans="1:19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</row>
    <row r="721" spans="1:19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</row>
    <row r="722" spans="1:19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</row>
    <row r="723" spans="1:19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</row>
    <row r="724" spans="1:19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</row>
    <row r="725" spans="1:19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</row>
    <row r="726" spans="1:19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</row>
    <row r="727" spans="1:19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</row>
    <row r="728" spans="1:19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</row>
    <row r="729" spans="1:19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</row>
    <row r="730" spans="1:19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</row>
    <row r="731" spans="1:19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</row>
    <row r="732" spans="1:19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</row>
    <row r="733" spans="1:19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</row>
    <row r="734" spans="1:19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</row>
    <row r="735" spans="1:19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</row>
    <row r="736" spans="1:19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</row>
    <row r="737" spans="1:19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</row>
    <row r="738" spans="1:19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</row>
    <row r="739" spans="1:19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</row>
    <row r="740" spans="1:19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</row>
    <row r="741" spans="1:19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</row>
    <row r="742" spans="1:19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</row>
    <row r="743" spans="1:19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</row>
    <row r="744" spans="1:19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</row>
    <row r="745" spans="1:19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</row>
    <row r="746" spans="1:19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</row>
    <row r="747" spans="1:19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</row>
    <row r="748" spans="1:19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</row>
    <row r="749" spans="1:19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</row>
    <row r="750" spans="1:19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</row>
    <row r="751" spans="1:19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</row>
    <row r="752" spans="1:19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</row>
    <row r="753" spans="1:19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</row>
    <row r="754" spans="1:19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</row>
    <row r="755" spans="1:19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</row>
    <row r="756" spans="1:19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</row>
    <row r="757" spans="1:19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</row>
    <row r="758" spans="1:19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</row>
    <row r="759" spans="1:19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</row>
    <row r="760" spans="1:19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</row>
    <row r="761" spans="1:19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</row>
    <row r="762" spans="1:19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</row>
    <row r="763" spans="1:19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</row>
    <row r="764" spans="1:19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</row>
    <row r="765" spans="1:19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</row>
    <row r="766" spans="1:19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</row>
    <row r="767" spans="1:19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</row>
    <row r="768" spans="1:19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</row>
    <row r="769" spans="1:19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</row>
    <row r="770" spans="1:19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</row>
    <row r="771" spans="1:19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</row>
    <row r="772" spans="1:19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</row>
    <row r="773" spans="1:19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</row>
    <row r="774" spans="1:19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</row>
    <row r="775" spans="1:19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</row>
    <row r="776" spans="1:19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</row>
    <row r="777" spans="1:19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</row>
    <row r="778" spans="1:19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</row>
    <row r="779" spans="1:19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</row>
    <row r="780" spans="1:19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</row>
    <row r="781" spans="1:19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</row>
    <row r="782" spans="1:19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</row>
    <row r="783" spans="1:19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</row>
    <row r="784" spans="1:19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</row>
    <row r="785" spans="1:19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</row>
    <row r="786" spans="1:19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</row>
    <row r="787" spans="1:19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</row>
    <row r="788" spans="1:19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</row>
    <row r="789" spans="1:19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</row>
    <row r="790" spans="1:19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</row>
    <row r="791" spans="1:19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</row>
    <row r="792" spans="1:19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</row>
    <row r="793" spans="1:19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</row>
    <row r="794" spans="1:19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</row>
    <row r="795" spans="1:19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</row>
    <row r="796" spans="1:19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</row>
    <row r="797" spans="1:19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</row>
    <row r="798" spans="1:19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</row>
    <row r="799" spans="1:19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</row>
    <row r="800" spans="1:19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</row>
    <row r="801" spans="1:19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</row>
    <row r="802" spans="1:19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</row>
    <row r="803" spans="1:19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</row>
    <row r="804" spans="1:19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</row>
    <row r="805" spans="1:19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</row>
    <row r="806" spans="1:19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</row>
    <row r="807" spans="1:19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</row>
    <row r="808" spans="1:19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</row>
    <row r="809" spans="1:19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</row>
    <row r="810" spans="1:19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</row>
    <row r="811" spans="1:19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</row>
    <row r="812" spans="1:19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</row>
    <row r="813" spans="1:19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</row>
    <row r="814" spans="1:19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</row>
    <row r="815" spans="1:19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</row>
    <row r="816" spans="1:19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</row>
    <row r="817" spans="1:19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</row>
    <row r="818" spans="1:19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</row>
    <row r="819" spans="1:19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</row>
    <row r="820" spans="1:19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</row>
    <row r="821" spans="1:19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</row>
    <row r="822" spans="1:19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</row>
    <row r="823" spans="1:19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</row>
    <row r="824" spans="1:19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</row>
    <row r="825" spans="1:19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</row>
    <row r="826" spans="1:19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</row>
    <row r="827" spans="1:19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</row>
    <row r="828" spans="1:19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</row>
    <row r="829" spans="1:19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</row>
    <row r="830" spans="1:19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</row>
    <row r="831" spans="1:19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</row>
    <row r="832" spans="1:19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</row>
    <row r="833" spans="1:19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</row>
    <row r="834" spans="1:19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</row>
    <row r="835" spans="1:19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</row>
    <row r="836" spans="1:19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</row>
    <row r="837" spans="1:19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</row>
    <row r="838" spans="1:19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</row>
    <row r="839" spans="1:19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</row>
    <row r="840" spans="1:19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</row>
    <row r="841" spans="1:19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</row>
    <row r="842" spans="1:19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</row>
    <row r="843" spans="1:19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</row>
    <row r="844" spans="1:19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</row>
    <row r="845" spans="1:19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</row>
    <row r="846" spans="1:19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</row>
    <row r="847" spans="1:19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</row>
    <row r="848" spans="1:19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</row>
    <row r="849" spans="1:19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</row>
    <row r="850" spans="1:19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</row>
    <row r="851" spans="1:19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</row>
    <row r="852" spans="1:19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</row>
    <row r="853" spans="1:19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</row>
    <row r="854" spans="1:19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</row>
    <row r="855" spans="1:19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</row>
    <row r="856" spans="1:19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</row>
    <row r="857" spans="1:19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</row>
    <row r="858" spans="1:19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</row>
    <row r="859" spans="1:19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</row>
    <row r="860" spans="1:19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</row>
    <row r="861" spans="1:19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</row>
    <row r="862" spans="1:19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</row>
    <row r="863" spans="1:19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</row>
    <row r="864" spans="1:19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</row>
    <row r="865" spans="1:19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</row>
    <row r="866" spans="1:19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</row>
    <row r="867" spans="1:19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</row>
    <row r="868" spans="1:19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</row>
    <row r="869" spans="1:19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</row>
    <row r="870" spans="1:19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</row>
    <row r="871" spans="1:19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</row>
    <row r="872" spans="1:19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</row>
    <row r="873" spans="1:19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</row>
    <row r="874" spans="1:19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</row>
    <row r="875" spans="1:19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</row>
    <row r="876" spans="1:19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</row>
    <row r="877" spans="1:19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</row>
    <row r="878" spans="1:19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</row>
    <row r="879" spans="1:19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</row>
    <row r="880" spans="1:19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</row>
    <row r="881" spans="1:19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</row>
    <row r="882" spans="1:19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</row>
    <row r="883" spans="1:19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</row>
    <row r="884" spans="1:19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</row>
    <row r="885" spans="1:19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</row>
    <row r="886" spans="1:19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</row>
    <row r="887" spans="1:19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</row>
    <row r="888" spans="1:19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</row>
    <row r="889" spans="1:19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</row>
    <row r="890" spans="1:19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</row>
    <row r="891" spans="1:19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</row>
    <row r="892" spans="1:19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</row>
    <row r="893" spans="1:19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</row>
    <row r="894" spans="1:19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</row>
    <row r="895" spans="1:19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</row>
    <row r="896" spans="1:19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</row>
    <row r="897" spans="1:19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</row>
    <row r="898" spans="1:19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</row>
    <row r="899" spans="1:19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</row>
    <row r="900" spans="1:19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</row>
    <row r="901" spans="1:19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</row>
    <row r="902" spans="1:19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</row>
    <row r="903" spans="1:19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</row>
    <row r="904" spans="1:19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</row>
    <row r="905" spans="1:19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</row>
    <row r="906" spans="1:19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</row>
    <row r="907" spans="1:19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</row>
    <row r="908" spans="1:19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</row>
    <row r="909" spans="1:19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</row>
    <row r="910" spans="1:19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</row>
    <row r="911" spans="1:19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</row>
    <row r="912" spans="1:19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</row>
    <row r="913" spans="1:19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</row>
    <row r="914" spans="1:19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</row>
    <row r="915" spans="1:19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</row>
    <row r="916" spans="1:19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</row>
    <row r="917" spans="1:19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</row>
    <row r="918" spans="1:19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</row>
    <row r="919" spans="1:19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</row>
    <row r="920" spans="1:19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</row>
    <row r="921" spans="1:19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</row>
    <row r="922" spans="1:19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</row>
    <row r="923" spans="1:19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</row>
    <row r="924" spans="1:19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</row>
    <row r="925" spans="1:19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</row>
    <row r="926" spans="1:19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</row>
    <row r="927" spans="1:19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</row>
    <row r="928" spans="1:19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</row>
    <row r="929" spans="1:19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</row>
    <row r="930" spans="1:19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</row>
    <row r="931" spans="1:19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</row>
    <row r="932" spans="1:19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</row>
    <row r="933" spans="1:19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</row>
    <row r="934" spans="1:19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</row>
    <row r="935" spans="1:19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</row>
    <row r="936" spans="1:19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</row>
    <row r="937" spans="1:19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</row>
    <row r="938" spans="1:19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</row>
    <row r="939" spans="1:19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</row>
    <row r="940" spans="1:19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</row>
    <row r="941" spans="1:19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</row>
    <row r="942" spans="1:19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</row>
    <row r="943" spans="1:19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</row>
    <row r="944" spans="1:19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</row>
    <row r="945" spans="1:19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</row>
    <row r="946" spans="1:19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</row>
    <row r="947" spans="1:19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</row>
    <row r="948" spans="1:19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</row>
    <row r="949" spans="1:19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</row>
    <row r="950" spans="1:19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</row>
    <row r="951" spans="1:19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</row>
    <row r="952" spans="1:19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</row>
    <row r="953" spans="1:19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</row>
    <row r="954" spans="1:19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</row>
    <row r="955" spans="1:19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</row>
    <row r="956" spans="1:19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</row>
    <row r="957" spans="1:19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</row>
    <row r="958" spans="1:19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</row>
    <row r="959" spans="1:19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</row>
    <row r="960" spans="1:19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</row>
    <row r="961" spans="1:19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</row>
    <row r="962" spans="1:19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</row>
    <row r="963" spans="1:19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</row>
    <row r="964" spans="1:19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</row>
    <row r="965" spans="1:19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</row>
    <row r="966" spans="1:19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</row>
    <row r="967" spans="1:19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</row>
    <row r="968" spans="1:19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</row>
    <row r="969" spans="1:19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</row>
    <row r="970" spans="1:19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</row>
    <row r="971" spans="1:19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</row>
    <row r="972" spans="1:19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</row>
    <row r="973" spans="1:19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</row>
    <row r="974" spans="1:19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</row>
    <row r="975" spans="1:19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</row>
    <row r="976" spans="1:19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</row>
    <row r="977" spans="1:19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</row>
    <row r="978" spans="1:19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</row>
    <row r="979" spans="1:19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</row>
    <row r="980" spans="1:19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</row>
    <row r="981" spans="1:19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</row>
    <row r="982" spans="1:19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</row>
    <row r="983" spans="1:19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</row>
    <row r="984" spans="1:19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</row>
    <row r="985" spans="1:19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</row>
    <row r="986" spans="1:19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</row>
    <row r="987" spans="1:19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</row>
    <row r="988" spans="1:19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</row>
    <row r="989" spans="1:19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</row>
    <row r="990" spans="1:19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</row>
    <row r="991" spans="1:19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</row>
    <row r="992" spans="1:19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</row>
    <row r="993" spans="1:19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</row>
    <row r="994" spans="1:19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</row>
    <row r="995" spans="1:19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</row>
    <row r="996" spans="1:19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</row>
    <row r="997" spans="1:19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</row>
    <row r="998" spans="1:19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</row>
    <row r="999" spans="1:19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</row>
    <row r="1000" spans="1:19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</row>
    <row r="1001" spans="1:19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AF35-FCB6-4EED-AB56-FFF7305A8BAA}">
  <dimension ref="A1:F59"/>
  <sheetViews>
    <sheetView tabSelected="1" topLeftCell="A2" workbookViewId="0">
      <selection activeCell="C50" sqref="C50"/>
    </sheetView>
  </sheetViews>
  <sheetFormatPr defaultRowHeight="14.4"/>
  <cols>
    <col min="1" max="1" width="53.33203125" bestFit="1" customWidth="1"/>
    <col min="3" max="3" width="9.5546875" bestFit="1" customWidth="1"/>
    <col min="4" max="4" width="35.21875" customWidth="1"/>
  </cols>
  <sheetData>
    <row r="1" spans="1:5">
      <c r="A1" t="s">
        <v>1586</v>
      </c>
    </row>
    <row r="2" spans="1:5">
      <c r="A2" s="5" t="s">
        <v>1587</v>
      </c>
    </row>
    <row r="4" spans="1:5">
      <c r="A4" s="3" t="s">
        <v>1615</v>
      </c>
      <c r="C4" s="3" t="s">
        <v>1616</v>
      </c>
    </row>
    <row r="5" spans="1:5">
      <c r="A5" t="s">
        <v>1588</v>
      </c>
      <c r="C5">
        <v>1000</v>
      </c>
    </row>
    <row r="6" spans="1:5">
      <c r="A6" t="s">
        <v>1589</v>
      </c>
      <c r="C6">
        <v>19</v>
      </c>
    </row>
    <row r="7" spans="1:5">
      <c r="A7" t="s">
        <v>1590</v>
      </c>
      <c r="C7" s="6">
        <v>34824</v>
      </c>
    </row>
    <row r="8" spans="1:5">
      <c r="A8" t="s">
        <v>1591</v>
      </c>
      <c r="C8" s="6">
        <v>45154</v>
      </c>
    </row>
    <row r="10" spans="1:5">
      <c r="A10" s="5" t="s">
        <v>1592</v>
      </c>
    </row>
    <row r="11" spans="1:5">
      <c r="A11" s="3" t="s">
        <v>1593</v>
      </c>
      <c r="B11" s="3" t="s">
        <v>1630</v>
      </c>
      <c r="C11" s="3" t="s">
        <v>1629</v>
      </c>
      <c r="D11" s="3" t="s">
        <v>1628</v>
      </c>
      <c r="E11" s="3" t="s">
        <v>1627</v>
      </c>
    </row>
    <row r="12" spans="1:5">
      <c r="A12" t="s">
        <v>1</v>
      </c>
      <c r="B12">
        <f>MIN(DS!$B$2:$B1001)</f>
        <v>6.5</v>
      </c>
      <c r="C12">
        <f>MAX(DS!$B$2:$B1001)</f>
        <v>9.1</v>
      </c>
      <c r="D12">
        <f>AVERAGE(DS!$B$2:$B1001)</f>
        <v>6.9401500000000125</v>
      </c>
      <c r="E12">
        <f>MAX(DS!$B$2:$B1001)-MIN(DS!$B2:$B1001)</f>
        <v>2.5999999999999996</v>
      </c>
    </row>
    <row r="13" spans="1:5">
      <c r="A13" t="s">
        <v>1594</v>
      </c>
      <c r="B13">
        <f>MIN(DS!$N$2:$N1001)</f>
        <v>2.7</v>
      </c>
      <c r="C13">
        <f>MAX(DS!$N$2:$N1001)</f>
        <v>670.81</v>
      </c>
      <c r="D13">
        <f>AVERAGE(DS!$N$2:$N1001)</f>
        <v>74.612540999999965</v>
      </c>
      <c r="E13">
        <f>MAX(DS!$N$2:$N1001)-MIN(DS!$N2:$N1001)</f>
        <v>668.1099999999999</v>
      </c>
    </row>
    <row r="14" spans="1:5">
      <c r="A14" t="s">
        <v>7</v>
      </c>
      <c r="B14">
        <f>MIN(DS!$H$2:$H1001)</f>
        <v>650</v>
      </c>
      <c r="C14">
        <f>MAX(DS!$H$2:$H1001)</f>
        <v>2910</v>
      </c>
      <c r="D14">
        <f>AVERAGE(DS!$H$2:$H1001)</f>
        <v>847.91499999999996</v>
      </c>
      <c r="E14">
        <f>MAX(DS!$H$2:$H1001)-MIN(DS!$H2:$H1001)</f>
        <v>2260</v>
      </c>
    </row>
    <row r="15" spans="1:5">
      <c r="A15" t="s">
        <v>4</v>
      </c>
      <c r="B15">
        <f>MIN(DS!$E$2:$E1001)</f>
        <v>1</v>
      </c>
      <c r="C15">
        <f>MAX(DS!$E$2:$E1001)</f>
        <v>10</v>
      </c>
      <c r="D15">
        <f>AVERAGE(DS!$E$2:$E1001)</f>
        <v>6.0270000000000001</v>
      </c>
      <c r="E15">
        <f>MAX(DS!$E$2:$E1001)-MIN(DS!$E$2:$E1001)</f>
        <v>9</v>
      </c>
    </row>
    <row r="17" spans="1:6">
      <c r="A17" s="3" t="s">
        <v>1595</v>
      </c>
      <c r="B17" s="3"/>
      <c r="C17" s="5"/>
      <c r="D17" s="3" t="s">
        <v>1596</v>
      </c>
      <c r="E17" s="3"/>
      <c r="F17" s="5"/>
    </row>
    <row r="18" spans="1:6">
      <c r="A18" s="2" t="s">
        <v>1597</v>
      </c>
      <c r="B18" s="2" t="s">
        <v>1598</v>
      </c>
      <c r="D18" s="2" t="s">
        <v>1599</v>
      </c>
      <c r="E18" s="2" t="s">
        <v>1598</v>
      </c>
    </row>
    <row r="19" spans="1:6">
      <c r="A19" t="s">
        <v>1600</v>
      </c>
      <c r="B19">
        <f>COUNTIF(DS!$M$2:$M$1001,"MWW")</f>
        <v>502</v>
      </c>
      <c r="D19" t="s">
        <v>1601</v>
      </c>
      <c r="E19">
        <f>COUNTIF(DS!$F$2:$F$1001,"GREEN")</f>
        <v>353</v>
      </c>
    </row>
    <row r="20" spans="1:6">
      <c r="A20" t="s">
        <v>1602</v>
      </c>
      <c r="B20">
        <f>COUNTIF(DS!$M$2:$M$1001,"MWC")</f>
        <v>332</v>
      </c>
      <c r="D20" t="s">
        <v>1603</v>
      </c>
      <c r="E20">
        <f>COUNTIF(DS!$F$2:$F$1001,"YELLOW")</f>
        <v>59</v>
      </c>
    </row>
    <row r="21" spans="1:6">
      <c r="A21" t="s">
        <v>1604</v>
      </c>
      <c r="B21">
        <f>COUNTIF(DS!$M$2:$M$1001,"MWB")</f>
        <v>100</v>
      </c>
      <c r="D21" t="s">
        <v>1605</v>
      </c>
      <c r="E21">
        <f>COUNTIF(DS!$F$2:$F$1001,"ORANGE")</f>
        <v>24</v>
      </c>
    </row>
    <row r="22" spans="1:6">
      <c r="A22" t="s">
        <v>1621</v>
      </c>
      <c r="B22">
        <f>COUNTIF(DS!$M$2:$M$1001,"MB")</f>
        <v>4</v>
      </c>
      <c r="D22" t="s">
        <v>1607</v>
      </c>
      <c r="E22">
        <f>COUNTIF(DS!$F$2:$F$1001,"RED")</f>
        <v>13</v>
      </c>
    </row>
    <row r="23" spans="1:6">
      <c r="A23" t="s">
        <v>1606</v>
      </c>
      <c r="B23">
        <f>COUNTIF(DS!$M$2:$M$1001,"MW")</f>
        <v>51</v>
      </c>
      <c r="D23" t="s">
        <v>1609</v>
      </c>
      <c r="E23">
        <f>COUNTBLANK(DS!$F$2:$F$1001)</f>
        <v>551</v>
      </c>
    </row>
    <row r="24" spans="1:6">
      <c r="A24" t="s">
        <v>1608</v>
      </c>
      <c r="B24">
        <f>COUNTIF(DS!$M$2:$M$1001,"MS")</f>
        <v>3</v>
      </c>
      <c r="D24" t="s">
        <v>1611</v>
      </c>
      <c r="E24">
        <f>COUNTIF(DS!$F$2:$F$1001,"GREEN")+COUNTIF(DS!$F$2:$F$1001,"YELLOW")+COUNTIF(DS!$F$2:$F$1001,"ORANGE")+COUNTIF(DS!$F$2:$F$1001,"RED")+COUNTIF(DS!$F$2:$F$1001,"")</f>
        <v>1000</v>
      </c>
    </row>
    <row r="25" spans="1:6">
      <c r="A25" t="s">
        <v>1610</v>
      </c>
      <c r="B25">
        <f>COUNTIF(DS!$M$2:$M$1001,"MD")</f>
        <v>2</v>
      </c>
    </row>
    <row r="26" spans="1:6">
      <c r="A26" t="s">
        <v>1612</v>
      </c>
      <c r="B26">
        <f>COUNTIF(DS!$M$2:$M$1001,"ML")</f>
        <v>1</v>
      </c>
    </row>
    <row r="27" spans="1:6">
      <c r="A27" t="s">
        <v>1613</v>
      </c>
      <c r="B27">
        <f>COUNTIF(DS!$M$2:$M$1001,"MI")</f>
        <v>5</v>
      </c>
    </row>
    <row r="28" spans="1:6">
      <c r="A28" t="s">
        <v>1611</v>
      </c>
      <c r="B28">
        <f>COUNTIF(DS!$M$2:$M$1001,"MWW")+COUNTIF(DS!$M$2:$M$1001,"MWC")+COUNTIF(DS!$M$2:$M$1001,"MWB")+COUNTIF(DS!$M$2:$M$1001,"MW")+COUNTIF(DS!$M$2:$M$1001,"MS")+COUNTIF(DS!$M$2:$M$1001,"MD")+COUNTIF(DS!$M$2:$M$1001,"ML")+COUNTIF(DS!$M$2:$M$1001,"MI")+COUNTIF(DS!$M$2:$M$1001,"MB")</f>
        <v>1000</v>
      </c>
    </row>
    <row r="29" spans="1:6">
      <c r="D29" s="5" t="s">
        <v>1624</v>
      </c>
      <c r="E29" s="5"/>
    </row>
    <row r="30" spans="1:6">
      <c r="A30" t="s">
        <v>1614</v>
      </c>
      <c r="D30" s="3" t="s">
        <v>1625</v>
      </c>
      <c r="E30" s="3" t="s">
        <v>1598</v>
      </c>
    </row>
    <row r="31" spans="1:6">
      <c r="A31" s="3" t="s">
        <v>1626</v>
      </c>
      <c r="B31" s="3" t="s">
        <v>1598</v>
      </c>
      <c r="D31">
        <v>1995</v>
      </c>
      <c r="E31">
        <f>COUNTIFS(DS!C:C,"&gt;="&amp;DATE(1995,1,1),DS!C:C,"&lt;"&amp;DATE(1996,1,1))</f>
        <v>29</v>
      </c>
    </row>
    <row r="32" spans="1:6">
      <c r="A32" t="s">
        <v>1617</v>
      </c>
      <c r="B32" s="4">
        <f>COUNTIFS(DS!$B$2:$B$1001,"&gt;=6.5",DS!$B$2:$B$1001,"&lt;=6.9")</f>
        <v>627</v>
      </c>
      <c r="D32">
        <v>1996</v>
      </c>
      <c r="E32">
        <f>COUNTIFS(DS!C:C,"&gt;="&amp;DATE(1996,1,1),DS!C:C,"&lt;"&amp;DATE(1997,1,1))</f>
        <v>35</v>
      </c>
    </row>
    <row r="33" spans="1:5">
      <c r="A33" t="s">
        <v>1618</v>
      </c>
      <c r="B33" s="4">
        <f>COUNTIFS(DS!$B$2:$B$1001,"&gt;=7.0",DS!$B$2:$B$1001,"&lt;=7.4")</f>
        <v>229</v>
      </c>
      <c r="D33">
        <v>1997</v>
      </c>
      <c r="E33">
        <f>COUNTIFS(DS!C:C,"&gt;="&amp;DATE(1997,1,1),DS!C:C,"&lt;"&amp;DATE(1998,1,1))</f>
        <v>28</v>
      </c>
    </row>
    <row r="34" spans="1:5">
      <c r="A34" t="s">
        <v>1619</v>
      </c>
      <c r="B34" s="4">
        <f>COUNTIFS(DS!$B$2:$B$1001,"&gt;=7.5",DS!$B$2:$B$1001,"&lt;=7.9")</f>
        <v>112</v>
      </c>
      <c r="D34">
        <v>1998</v>
      </c>
      <c r="E34">
        <f>COUNTIFS(DS!C:C,"&gt;="&amp;DATE(1998,1,1),DS!C:C,"&lt;"&amp;DATE(1999,1,1))</f>
        <v>23</v>
      </c>
    </row>
    <row r="35" spans="1:5">
      <c r="A35" t="s">
        <v>1620</v>
      </c>
      <c r="B35" s="4">
        <f>COUNTIFS(DS!$B$2:$B$1001,"&gt;=8.0",DS!$B$2:$B$1001,"&lt;=8.4")</f>
        <v>27</v>
      </c>
      <c r="D35">
        <v>1999</v>
      </c>
      <c r="E35">
        <f>COUNTIFS(DS!C:C,"&gt;="&amp;DATE(1999,1,1),DS!C:C,"&lt;"&amp;DATE(2000,1,1))</f>
        <v>33</v>
      </c>
    </row>
    <row r="36" spans="1:5">
      <c r="A36" t="s">
        <v>1622</v>
      </c>
      <c r="B36" s="4">
        <f>COUNTIFS(DS!$B$2:$B$1001,"&gt;=8.5",DS!$B$2:$B$1001,"&lt;=8.9")</f>
        <v>3</v>
      </c>
      <c r="D36">
        <v>2000</v>
      </c>
      <c r="E36">
        <f>COUNTIFS(DS!C:C,"&gt;="&amp;DATE(2000,1,1),DS!C:C,"&lt;"&amp;DATE(2001,1,1))</f>
        <v>35</v>
      </c>
    </row>
    <row r="37" spans="1:5">
      <c r="A37" t="s">
        <v>1623</v>
      </c>
      <c r="B37" s="4">
        <f>COUNTIFS(DS!$B$2:$B$1001,"&gt;=9.0",DS!$B$2:$B$1001,"&lt;=9.4")</f>
        <v>2</v>
      </c>
      <c r="D37">
        <v>2001</v>
      </c>
      <c r="E37">
        <f>COUNTIFS(DS!C:C,"&gt;="&amp;DATE(2001,1,1),DS!C:C,"&lt;"&amp;DATE(2002,1,1))</f>
        <v>28</v>
      </c>
    </row>
    <row r="38" spans="1:5">
      <c r="D38">
        <v>2002</v>
      </c>
      <c r="E38">
        <f>COUNTIFS(DS!C:C,"&gt;="&amp;DATE(2002,1,1),DS!C:C,"&lt;"&amp;DATE(2003,1,1))</f>
        <v>25</v>
      </c>
    </row>
    <row r="39" spans="1:5">
      <c r="D39">
        <v>2003</v>
      </c>
      <c r="E39">
        <f>COUNTIFS(DS!C:C,"&gt;="&amp;DATE(2003,1,1),DS!C:C,"&lt;"&amp;DATE(2004,1,1))</f>
        <v>31</v>
      </c>
    </row>
    <row r="40" spans="1:5">
      <c r="D40">
        <v>2004</v>
      </c>
      <c r="E40">
        <f>COUNTIFS(DS!C:C,"&gt;="&amp;DATE(2004,1,1),DS!C:C,"&lt;"&amp;DATE(2005,1,1))</f>
        <v>32</v>
      </c>
    </row>
    <row r="41" spans="1:5">
      <c r="D41">
        <v>2005</v>
      </c>
      <c r="E41">
        <f>COUNTIFS(DS!C:C,"&gt;="&amp;DATE(2005,1,1),DS!C:C,"&lt;"&amp;DATE(2006,1,1))</f>
        <v>28</v>
      </c>
    </row>
    <row r="42" spans="1:5">
      <c r="D42">
        <v>2006</v>
      </c>
      <c r="E42">
        <f>COUNTIFS(DS!C:C,"&gt;="&amp;DATE(2006,1,1),DS!C:C,"&lt;"&amp;DATE(2007,1,1))</f>
        <v>26</v>
      </c>
    </row>
    <row r="43" spans="1:5">
      <c r="D43">
        <v>2007</v>
      </c>
      <c r="E43">
        <f>COUNTIFS(DS!C:C,"&gt;="&amp;DATE(2007,1,1),DS!C:C,"&lt;"&amp;DATE(2008,1,1))</f>
        <v>37</v>
      </c>
    </row>
    <row r="44" spans="1:5">
      <c r="D44">
        <v>2008</v>
      </c>
      <c r="E44">
        <f>COUNTIFS(DS!C:C,"&gt;="&amp;DATE(2008,1,1),DS!C:C,"&lt;"&amp;DATE(2009,1,1))</f>
        <v>25</v>
      </c>
    </row>
    <row r="45" spans="1:5">
      <c r="D45">
        <v>2009</v>
      </c>
      <c r="E45">
        <f>COUNTIFS(DS!C:C,"&gt;="&amp;DATE(2009,1,1),DS!C:C,"&lt;"&amp;DATE(2010,1,1))</f>
        <v>26</v>
      </c>
    </row>
    <row r="46" spans="1:5">
      <c r="D46">
        <v>2010</v>
      </c>
      <c r="E46">
        <f>COUNTIFS(DS!C:C,"&gt;="&amp;DATE(2010,1,1),DS!C:C,"&lt;"&amp;DATE(2011,1,1))</f>
        <v>41</v>
      </c>
    </row>
    <row r="47" spans="1:5">
      <c r="D47">
        <v>2011</v>
      </c>
      <c r="E47">
        <f>COUNTIFS(DS!C:C,"&gt;="&amp;DATE(2011,1,1),DS!C:C,"&lt;"&amp;DATE(2012,1,1))</f>
        <v>34</v>
      </c>
    </row>
    <row r="48" spans="1:5">
      <c r="D48">
        <v>2012</v>
      </c>
      <c r="E48">
        <f>COUNTIFS(DS!C:C,"&gt;="&amp;DATE(2012,1,1),DS!C:C,"&lt;"&amp;DATE(2013,1,1))</f>
        <v>31</v>
      </c>
    </row>
    <row r="49" spans="4:5">
      <c r="D49">
        <v>2013</v>
      </c>
      <c r="E49">
        <f>COUNTIFS(DS!C:C,"&gt;="&amp;DATE(2013,1,1),DS!C:C,"&lt;"&amp;DATE(2014,1,1))</f>
        <v>53</v>
      </c>
    </row>
    <row r="50" spans="4:5">
      <c r="D50">
        <v>2014</v>
      </c>
      <c r="E50">
        <f>COUNTIFS(DS!C:C,"&gt;="&amp;DATE(2014,1,1),DS!C:C,"&lt;"&amp;DATE(2015,1,1))</f>
        <v>48</v>
      </c>
    </row>
    <row r="51" spans="4:5">
      <c r="D51">
        <v>2015</v>
      </c>
      <c r="E51">
        <f>COUNTIFS(DS!C:C,"&gt;="&amp;DATE(2015,1,1),DS!C:C,"&lt;"&amp;DATE(2016,1,1))</f>
        <v>53</v>
      </c>
    </row>
    <row r="52" spans="4:5">
      <c r="D52">
        <v>2016</v>
      </c>
      <c r="E52">
        <f>COUNTIFS(DS!C:C,"&gt;="&amp;DATE(2016,1,1),DS!C:C,"&lt;"&amp;DATE(2017,1,1))</f>
        <v>43</v>
      </c>
    </row>
    <row r="53" spans="4:5">
      <c r="D53">
        <v>2017</v>
      </c>
      <c r="E53">
        <f>COUNTIFS(DS!C:C,"&gt;="&amp;DATE(2017,1,1),DS!C:C,"&lt;"&amp;DATE(2018,1,1))</f>
        <v>36</v>
      </c>
    </row>
    <row r="54" spans="4:5">
      <c r="D54">
        <v>2018</v>
      </c>
      <c r="E54">
        <f>COUNTIFS(DS!C:C,"&gt;="&amp;DATE(2018,1,1),DS!C:C,"&lt;"&amp;DATE(2019,1,1))</f>
        <v>43</v>
      </c>
    </row>
    <row r="55" spans="4:5">
      <c r="D55">
        <v>2019</v>
      </c>
      <c r="E55">
        <f>COUNTIFS(DS!C:C,"&gt;="&amp;DATE(2019,1,1),DS!C:C,"&lt;"&amp;DATE(2020,1,1))</f>
        <v>33</v>
      </c>
    </row>
    <row r="56" spans="4:5">
      <c r="D56">
        <v>2020</v>
      </c>
      <c r="E56">
        <f>COUNTIFS(DS!C:C,"&gt;="&amp;DATE(2020,1,1),DS!C:C,"&lt;"&amp;DATE(2021,1,1))</f>
        <v>27</v>
      </c>
    </row>
    <row r="57" spans="4:5">
      <c r="D57">
        <v>2021</v>
      </c>
      <c r="E57">
        <f>COUNTIFS(DS!C:C,"&gt;="&amp;DATE(2021,1,1),DS!C:C,"&lt;"&amp;DATE(2022,1,1))</f>
        <v>42</v>
      </c>
    </row>
    <row r="58" spans="4:5">
      <c r="D58">
        <v>2022</v>
      </c>
      <c r="E58">
        <f>COUNTIFS(DS!C:C,"&gt;="&amp;DATE(2022,1,1),DS!C:C,"&lt;"&amp;DATE(2023,1,1))</f>
        <v>41</v>
      </c>
    </row>
    <row r="59" spans="4:5">
      <c r="D59">
        <v>2023</v>
      </c>
      <c r="E59">
        <f>COUNTIFS(DS!C:C,"&gt;="&amp;DATE(2023,1,1),DS!C:C,"&lt;"&amp;DATE(2024,1,1))</f>
        <v>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Lingolu Tejaswi</dc:creator>
  <cp:lastModifiedBy>Lingolu Tejaswi</cp:lastModifiedBy>
  <cp:lastPrinted>2026-09-08T15:53:39Z</cp:lastPrinted>
  <dcterms:created xsi:type="dcterms:W3CDTF">2026-09-08T17:09:39Z</dcterms:created>
  <dcterms:modified xsi:type="dcterms:W3CDTF">2026-09-09T14:34:53Z</dcterms:modified>
</cp:coreProperties>
</file>